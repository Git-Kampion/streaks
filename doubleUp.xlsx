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8_{B5EB800F-F36D-4026-BC3E-D2D2AE23EF41}" xr6:coauthVersionLast="47" xr6:coauthVersionMax="47" xr10:uidLastSave="{00000000-0000-0000-0000-000000000000}"/>
  <bookViews>
    <workbookView xWindow="-108" yWindow="-108" windowWidth="23256" windowHeight="12456" firstSheet="10" activeTab="12" xr2:uid="{AC0F40C5-DAD0-4090-81D9-C61109D09DEF}"/>
  </bookViews>
  <sheets>
    <sheet name="DoubleUpV1" sheetId="1" r:id="rId1"/>
    <sheet name="DoubleupV1.1" sheetId="3" r:id="rId2"/>
    <sheet name="indexes" sheetId="6" r:id="rId3"/>
    <sheet name="Theory" sheetId="5" r:id="rId4"/>
    <sheet name="26-July" sheetId="9" r:id="rId5"/>
    <sheet name="Timeframes" sheetId="10" r:id="rId6"/>
    <sheet name="15-Sept-2024" sheetId="7" r:id="rId7"/>
    <sheet name="Frames" sheetId="11" r:id="rId8"/>
    <sheet name="EPLFrames" sheetId="13" r:id="rId9"/>
    <sheet name="WorldFutFrames" sheetId="14" r:id="rId10"/>
    <sheet name="SatSunFrame" sheetId="18" r:id="rId11"/>
    <sheet name="22 - 24 Nov" sheetId="19" r:id="rId12"/>
    <sheet name="Sheet2" sheetId="20" r:id="rId1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" i="10" l="1"/>
  <c r="D16" i="10"/>
  <c r="E16" i="10"/>
  <c r="F16" i="10"/>
  <c r="G16" i="10"/>
  <c r="H16" i="10"/>
  <c r="I16" i="10"/>
  <c r="J16" i="10"/>
  <c r="K16" i="10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48" i="5"/>
  <c r="B32" i="5"/>
  <c r="B31" i="5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Y6" i="3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3" i="3"/>
  <c r="L3" i="3" s="1"/>
  <c r="K2" i="3"/>
  <c r="L2" i="3" s="1"/>
  <c r="A11" i="3"/>
  <c r="Q12" i="1"/>
  <c r="P10" i="1"/>
  <c r="O10" i="1"/>
  <c r="N10" i="1"/>
  <c r="M10" i="1"/>
  <c r="H9" i="1"/>
  <c r="G9" i="1"/>
  <c r="F9" i="1"/>
  <c r="E9" i="1"/>
  <c r="D9" i="1"/>
  <c r="C9" i="1"/>
  <c r="B9" i="1"/>
  <c r="T12" i="1"/>
  <c r="S12" i="1"/>
  <c r="R12" i="1"/>
  <c r="L8" i="1"/>
  <c r="K8" i="1"/>
  <c r="J8" i="1"/>
</calcChain>
</file>

<file path=xl/sharedStrings.xml><?xml version="1.0" encoding="utf-8"?>
<sst xmlns="http://schemas.openxmlformats.org/spreadsheetml/2006/main" count="865" uniqueCount="403">
  <si>
    <t>Mon</t>
  </si>
  <si>
    <t>Tues</t>
  </si>
  <si>
    <t>Wed</t>
  </si>
  <si>
    <t>Thurs</t>
  </si>
  <si>
    <t>Fri</t>
  </si>
  <si>
    <t>met</t>
  </si>
  <si>
    <t>fail</t>
  </si>
  <si>
    <t>Friday</t>
  </si>
  <si>
    <t>0,10*10(stake=500)</t>
  </si>
  <si>
    <t>,80*5(stake=100)</t>
  </si>
  <si>
    <t>Fc Astana Win(0,89)</t>
  </si>
  <si>
    <t>Helsink second half under 2,5(,22)</t>
  </si>
  <si>
    <t>Qingdao under3,5(0,15)</t>
  </si>
  <si>
    <t>Sarsborg U2,5(0,14)</t>
  </si>
  <si>
    <t>Yokohoma Marinos over 0,5(0,12)</t>
  </si>
  <si>
    <t>Vissel Kobe over0,5(0,18)</t>
  </si>
  <si>
    <t>Incheaon United Under 1,5(,23)</t>
  </si>
  <si>
    <t>thurs</t>
  </si>
  <si>
    <t>1st attempt</t>
  </si>
  <si>
    <t>2nd attempt</t>
  </si>
  <si>
    <t>3rd attempt</t>
  </si>
  <si>
    <t>4th attempt</t>
  </si>
  <si>
    <t>5th attempt</t>
  </si>
  <si>
    <t>U18202DED</t>
  </si>
  <si>
    <t>U182042A1</t>
  </si>
  <si>
    <t>Target:</t>
  </si>
  <si>
    <t>12.5</t>
  </si>
  <si>
    <t xml:space="preserve">Objective: Use Sub amount to Double Main amount by accumilating goals 1st and second half. </t>
  </si>
  <si>
    <t>Note: If you don’t get it 1st half, youll get it second half. Each Frame has its own margin</t>
  </si>
  <si>
    <r>
      <t xml:space="preserve">Downside Frontline: Each fixture has </t>
    </r>
    <r>
      <rPr>
        <b/>
        <i/>
        <sz val="14"/>
        <color rgb="FFFF0000"/>
        <rFont val="Calibri"/>
        <family val="2"/>
        <scheme val="minor"/>
      </rPr>
      <t>V1</t>
    </r>
    <r>
      <rPr>
        <b/>
        <sz val="11"/>
        <color rgb="FFFF0000"/>
        <rFont val="Calibri"/>
        <family val="2"/>
        <scheme val="minor"/>
      </rPr>
      <t xml:space="preserve"> &gt; </t>
    </r>
    <r>
      <rPr>
        <b/>
        <sz val="14"/>
        <color rgb="FFFF0000"/>
        <rFont val="Calibri"/>
        <family val="2"/>
        <scheme val="minor"/>
      </rPr>
      <t>V2</t>
    </r>
    <r>
      <rPr>
        <b/>
        <sz val="11"/>
        <color rgb="FFFF0000"/>
        <rFont val="Calibri"/>
        <family val="2"/>
        <scheme val="minor"/>
      </rPr>
      <t xml:space="preserve"> &gt; </t>
    </r>
    <r>
      <rPr>
        <b/>
        <sz val="14"/>
        <color rgb="FFFF0000"/>
        <rFont val="Calibri"/>
        <family val="2"/>
        <scheme val="minor"/>
      </rPr>
      <t>V3</t>
    </r>
    <r>
      <rPr>
        <b/>
        <sz val="11"/>
        <color rgb="FFFF0000"/>
        <rFont val="Calibri"/>
        <family val="2"/>
        <scheme val="minor"/>
      </rPr>
      <t xml:space="preserve"> protection.</t>
    </r>
  </si>
  <si>
    <r>
      <t xml:space="preserve">Upside ceiling: </t>
    </r>
    <r>
      <rPr>
        <b/>
        <sz val="14"/>
        <color rgb="FF00B050"/>
        <rFont val="Calibri"/>
        <family val="2"/>
        <scheme val="minor"/>
      </rPr>
      <t>V3</t>
    </r>
    <r>
      <rPr>
        <b/>
        <sz val="11"/>
        <color rgb="FF00B050"/>
        <rFont val="Calibri"/>
        <family val="2"/>
        <scheme val="minor"/>
      </rPr>
      <t xml:space="preserve"> &lt; </t>
    </r>
    <r>
      <rPr>
        <b/>
        <sz val="14"/>
        <color rgb="FF00B050"/>
        <rFont val="Calibri"/>
        <family val="2"/>
        <scheme val="minor"/>
      </rPr>
      <t>V2</t>
    </r>
    <r>
      <rPr>
        <b/>
        <sz val="11"/>
        <color rgb="FF00B050"/>
        <rFont val="Calibri"/>
        <family val="2"/>
        <scheme val="minor"/>
      </rPr>
      <t xml:space="preserve"> &lt; </t>
    </r>
    <r>
      <rPr>
        <b/>
        <sz val="14"/>
        <color rgb="FF00B050"/>
        <rFont val="Calibri"/>
        <family val="2"/>
        <scheme val="minor"/>
      </rPr>
      <t>V1</t>
    </r>
    <r>
      <rPr>
        <b/>
        <sz val="11"/>
        <color rgb="FF00B050"/>
        <rFont val="Calibri"/>
        <family val="2"/>
        <scheme val="minor"/>
      </rPr>
      <t xml:space="preserve"> cascading returns.</t>
    </r>
  </si>
  <si>
    <t>Team</t>
  </si>
  <si>
    <t>win</t>
  </si>
  <si>
    <t>liepzig</t>
  </si>
  <si>
    <t>jc</t>
  </si>
  <si>
    <t>Proposition: foreach 25T, 0,30*2 || 0,15*4 || 12*5 || 6*10 || 2*20</t>
  </si>
  <si>
    <t>Switchblades: foreach 25T, 0,30*4 || 0,15*8 || 12*10 || 6*20 || 2*40</t>
  </si>
  <si>
    <t>Custom lottery ticket</t>
  </si>
  <si>
    <t>Strategies</t>
  </si>
  <si>
    <r>
      <t>Proposition1: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0,30*25;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0,30*50;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</si>
  <si>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0,60*12;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0,60*25; </t>
    </r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</si>
  <si>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2,2*12; </t>
    </r>
  </si>
  <si>
    <t>T</t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</si>
  <si>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0,30*12;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0,30*25;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</si>
  <si>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0,60*12;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</si>
  <si>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2,2*6; </t>
    </r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</si>
  <si>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0,30*12;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</si>
  <si>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0,60*6; </t>
    </r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</si>
  <si>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0,30*6;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</si>
  <si>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0,60*1,5;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0,60*3;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</si>
  <si>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2,2*1;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2,2*1,5;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</si>
  <si>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2,2*4; </t>
    </r>
  </si>
  <si>
    <t xml:space="preserve">Feyenoord </t>
  </si>
  <si>
    <t>PSV</t>
  </si>
  <si>
    <t>Hannover</t>
  </si>
  <si>
    <t>Club Brugge/Monaco</t>
  </si>
  <si>
    <t>Villareal/City</t>
  </si>
  <si>
    <t>Liverpool/astonVilla/swallows(2,2)</t>
  </si>
  <si>
    <t>RodaLeverkusen</t>
  </si>
  <si>
    <t>Arsenal</t>
  </si>
  <si>
    <t>Fc Twente</t>
  </si>
  <si>
    <t>Liebzig</t>
  </si>
  <si>
    <t>Atletico</t>
  </si>
  <si>
    <t>Real</t>
  </si>
  <si>
    <t>Barcelona</t>
  </si>
  <si>
    <t>Boavista</t>
  </si>
  <si>
    <t>Sporting</t>
  </si>
  <si>
    <t>Psg</t>
  </si>
  <si>
    <t>Utd</t>
  </si>
  <si>
    <t>Tottenham</t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</si>
  <si>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2*2;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</si>
  <si>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0,60*4;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</si>
  <si>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0,30*8; </t>
    </r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</si>
  <si>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2*1;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</si>
  <si>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0,60*2;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</si>
  <si>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0,30*4 </t>
    </r>
  </si>
  <si>
    <t>Liverpool</t>
  </si>
  <si>
    <t>Sundowns</t>
  </si>
  <si>
    <t>Brighton</t>
  </si>
  <si>
    <t>Win</t>
  </si>
  <si>
    <t>leverkusen</t>
  </si>
  <si>
    <t>psv</t>
  </si>
  <si>
    <t>Rotherham</t>
  </si>
  <si>
    <t>Ferrari/Porsche multiTeam index's</t>
  </si>
  <si>
    <t>dx 1</t>
  </si>
  <si>
    <t>dx 2</t>
  </si>
  <si>
    <t>dx 3</t>
  </si>
  <si>
    <t>dx 4</t>
  </si>
  <si>
    <t>dx 5</t>
  </si>
  <si>
    <t>dx 6</t>
  </si>
  <si>
    <t xml:space="preserve">dx 7 </t>
  </si>
  <si>
    <t>dx 8</t>
  </si>
  <si>
    <t>dx 9</t>
  </si>
  <si>
    <t>dx 11</t>
  </si>
  <si>
    <t>dx 12</t>
  </si>
  <si>
    <t>dx 13</t>
  </si>
  <si>
    <t>dx 14</t>
  </si>
  <si>
    <t>dx 15</t>
  </si>
  <si>
    <t>dx 16</t>
  </si>
  <si>
    <t>dx 17</t>
  </si>
  <si>
    <t>Man city</t>
  </si>
  <si>
    <t>leicester</t>
  </si>
  <si>
    <t>over 0,5</t>
  </si>
  <si>
    <t>both halves</t>
  </si>
  <si>
    <t>over0,5</t>
  </si>
  <si>
    <t>Spurs</t>
  </si>
  <si>
    <t xml:space="preserve">Liverpool </t>
  </si>
  <si>
    <t>Bayern</t>
  </si>
  <si>
    <t>1st half\over 0,5</t>
  </si>
  <si>
    <t xml:space="preserve">Hannover </t>
  </si>
  <si>
    <t xml:space="preserve">St.ettienne </t>
  </si>
  <si>
    <t xml:space="preserve">real </t>
  </si>
  <si>
    <t>over1,5</t>
  </si>
  <si>
    <t>wolves</t>
  </si>
  <si>
    <t>Stuttgart</t>
  </si>
  <si>
    <t xml:space="preserve">Psg </t>
  </si>
  <si>
    <t>fc porto</t>
  </si>
  <si>
    <t xml:space="preserve">atletico </t>
  </si>
  <si>
    <t>aalborg</t>
  </si>
  <si>
    <t>All masry</t>
  </si>
  <si>
    <t>AC Milan</t>
  </si>
  <si>
    <t>aston villa</t>
  </si>
  <si>
    <t xml:space="preserve">OGC Nice </t>
  </si>
  <si>
    <t>wd</t>
  </si>
  <si>
    <t>over 1,5</t>
  </si>
  <si>
    <t>feyernoord</t>
  </si>
  <si>
    <t>real sociedad</t>
  </si>
  <si>
    <t>over 2,5</t>
  </si>
  <si>
    <t>Athletic</t>
  </si>
  <si>
    <t>Grazer ak</t>
  </si>
  <si>
    <t>red star</t>
  </si>
  <si>
    <t>williem</t>
  </si>
  <si>
    <t xml:space="preserve">city </t>
  </si>
  <si>
    <t>sundowns</t>
  </si>
  <si>
    <t>Napoli</t>
  </si>
  <si>
    <t>BothHalves</t>
  </si>
  <si>
    <t>city</t>
  </si>
  <si>
    <t>1st over 1</t>
  </si>
  <si>
    <t>Girona</t>
  </si>
  <si>
    <t>BTS</t>
  </si>
  <si>
    <t>Lask</t>
  </si>
  <si>
    <t>Lustenau</t>
  </si>
  <si>
    <t>under 1,5</t>
  </si>
  <si>
    <t>Sociedad</t>
  </si>
  <si>
    <t xml:space="preserve">Ferrol </t>
  </si>
  <si>
    <t xml:space="preserve">watford </t>
  </si>
  <si>
    <t>Bolton</t>
  </si>
  <si>
    <t>NForest</t>
  </si>
  <si>
    <t>WestHam</t>
  </si>
  <si>
    <t>wind</t>
  </si>
  <si>
    <t>over 1,5 dc</t>
  </si>
  <si>
    <t>1st over 0,5</t>
  </si>
  <si>
    <t>az alkmaar</t>
  </si>
  <si>
    <t>spart roterdam</t>
  </si>
  <si>
    <t xml:space="preserve">Ajax </t>
  </si>
  <si>
    <t>jong ajax</t>
  </si>
  <si>
    <t>0ver 0,5</t>
  </si>
  <si>
    <t>Hamburger</t>
  </si>
  <si>
    <t>Luton</t>
  </si>
  <si>
    <t>no clean sheet</t>
  </si>
  <si>
    <t>index 1</t>
  </si>
  <si>
    <t>index 2</t>
  </si>
  <si>
    <t>index 3</t>
  </si>
  <si>
    <t>Salernitani</t>
  </si>
  <si>
    <t>1st under 0,5</t>
  </si>
  <si>
    <t>index 4</t>
  </si>
  <si>
    <t>Monchengladbach</t>
  </si>
  <si>
    <t>Full time0ver 1,5</t>
  </si>
  <si>
    <t>BT</t>
  </si>
  <si>
    <t>goal over 0,5</t>
  </si>
  <si>
    <t>athletic</t>
  </si>
  <si>
    <t>Margin: R400</t>
  </si>
  <si>
    <t>MR: 11[22]</t>
  </si>
  <si>
    <t>Target: R819000</t>
  </si>
  <si>
    <t xml:space="preserve">inter </t>
  </si>
  <si>
    <t>udinese</t>
  </si>
  <si>
    <t>under 2,5</t>
  </si>
  <si>
    <t>Date:</t>
  </si>
  <si>
    <t>Sturm Graz</t>
  </si>
  <si>
    <t>Celtic</t>
  </si>
  <si>
    <t>Club Brugge</t>
  </si>
  <si>
    <t>Sporting CP</t>
  </si>
  <si>
    <t>PSV Eindhoven</t>
  </si>
  <si>
    <t>Feyenoord</t>
  </si>
  <si>
    <t>Monaco</t>
  </si>
  <si>
    <t>Paris Saint-Germain</t>
  </si>
  <si>
    <t>Brest</t>
  </si>
  <si>
    <r>
      <t>Inter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Milan</t>
    </r>
  </si>
  <si>
    <t>Juventus</t>
  </si>
  <si>
    <t>Atalanta</t>
  </si>
  <si>
    <t>Leverkusen</t>
  </si>
  <si>
    <t>Leipzig</t>
  </si>
  <si>
    <t>Real Madrid</t>
  </si>
  <si>
    <t>Atlético de Madrid</t>
  </si>
  <si>
    <t>Man City</t>
  </si>
  <si>
    <t>Aston Villa</t>
  </si>
  <si>
    <t>newcastle</t>
  </si>
  <si>
    <t>Margin: R2500</t>
  </si>
  <si>
    <t>Target: R5000</t>
  </si>
  <si>
    <t>MR: 1(2)</t>
  </si>
  <si>
    <t>Shangai Port</t>
  </si>
  <si>
    <t>Sec over 1,5</t>
  </si>
  <si>
    <t xml:space="preserve">Leagues: </t>
  </si>
  <si>
    <t>Argentina: liga Proffesional</t>
  </si>
  <si>
    <t>Switzerland Super Leagues</t>
  </si>
  <si>
    <t>ChampionsLeague</t>
  </si>
  <si>
    <t>Conference League</t>
  </si>
  <si>
    <t>Europa League</t>
  </si>
  <si>
    <t>Conference Leagues</t>
  </si>
  <si>
    <t>iceland Divison 1</t>
  </si>
  <si>
    <t>Brazil: Seria A</t>
  </si>
  <si>
    <t>Club Firendly</t>
  </si>
  <si>
    <t>Belgium:Juplie</t>
  </si>
  <si>
    <t>China Super</t>
  </si>
  <si>
    <t>Czech:Chnl</t>
  </si>
  <si>
    <t>Denmark Superliga</t>
  </si>
  <si>
    <t>Denamrk: 1st Divisopn</t>
  </si>
  <si>
    <t>Egypt Premier</t>
  </si>
  <si>
    <t>ierland Premier</t>
  </si>
  <si>
    <t>ireland Div 1</t>
  </si>
  <si>
    <t>Poland Ektrastra</t>
  </si>
  <si>
    <t>Romainia Liga 1</t>
  </si>
  <si>
    <t>South Korea Kleauge</t>
  </si>
  <si>
    <t>Austria ofb</t>
  </si>
  <si>
    <t>Seria A</t>
  </si>
  <si>
    <t>Seri b</t>
  </si>
  <si>
    <t>Club Friendly</t>
  </si>
  <si>
    <t>R2 * 2</t>
  </si>
  <si>
    <t>R0,5 * 4</t>
  </si>
  <si>
    <t>R0,25 * 8</t>
  </si>
  <si>
    <t>R0,10 * 20</t>
  </si>
  <si>
    <t xml:space="preserve"> </t>
  </si>
  <si>
    <t>R0,05 * 40</t>
  </si>
  <si>
    <t>R0,02 * 80</t>
  </si>
  <si>
    <t>Young Boys</t>
  </si>
  <si>
    <t>R2:50</t>
  </si>
  <si>
    <t>over 1,5, WW</t>
  </si>
  <si>
    <t>Lazio</t>
  </si>
  <si>
    <t>Galatasary</t>
  </si>
  <si>
    <t>Grazer Ak</t>
  </si>
  <si>
    <t>Sat</t>
  </si>
  <si>
    <t>liverpool</t>
  </si>
  <si>
    <t>1 goal</t>
  </si>
  <si>
    <t>Sun</t>
  </si>
  <si>
    <t>Dortmund</t>
  </si>
  <si>
    <t>arsenal</t>
  </si>
  <si>
    <t>City</t>
  </si>
  <si>
    <t>SAT</t>
  </si>
  <si>
    <t>Laliga</t>
  </si>
  <si>
    <t>EPL</t>
  </si>
  <si>
    <t>BundesLiga</t>
  </si>
  <si>
    <t>Ligue1</t>
  </si>
  <si>
    <t>FRI</t>
  </si>
  <si>
    <t>1</t>
  </si>
  <si>
    <t>SUN</t>
  </si>
  <si>
    <t>MON</t>
  </si>
  <si>
    <t>5</t>
  </si>
  <si>
    <t>2</t>
  </si>
  <si>
    <t>3</t>
  </si>
  <si>
    <t>ScotPrem</t>
  </si>
  <si>
    <t>0</t>
  </si>
  <si>
    <t>Austria1</t>
  </si>
  <si>
    <t>Belgium1</t>
  </si>
  <si>
    <t>Croatia1</t>
  </si>
  <si>
    <t>Algeria1</t>
  </si>
  <si>
    <t>8</t>
  </si>
  <si>
    <t>Argentina1</t>
  </si>
  <si>
    <t>Azerbaijain1</t>
  </si>
  <si>
    <t>Bostswana1</t>
  </si>
  <si>
    <t>Bulgrai1</t>
  </si>
  <si>
    <t>China1</t>
  </si>
  <si>
    <t>CostaRica</t>
  </si>
  <si>
    <t>Denmark1</t>
  </si>
  <si>
    <t>Gribaltar1</t>
  </si>
  <si>
    <t>India1</t>
  </si>
  <si>
    <t>Chile1</t>
  </si>
  <si>
    <t>Iran1</t>
  </si>
  <si>
    <t>4</t>
  </si>
  <si>
    <t>Wednes</t>
  </si>
  <si>
    <t>Jamiaca</t>
  </si>
  <si>
    <t>Jamiaica</t>
  </si>
  <si>
    <t>Japan</t>
  </si>
  <si>
    <t>Jordan</t>
  </si>
  <si>
    <t>Kazakstan</t>
  </si>
  <si>
    <t>Kuwait</t>
  </si>
  <si>
    <t>Latvia</t>
  </si>
  <si>
    <t>Lithuania</t>
  </si>
  <si>
    <t>Peru</t>
  </si>
  <si>
    <t>Poland</t>
  </si>
  <si>
    <t>Qatar</t>
  </si>
  <si>
    <t>Romania</t>
  </si>
  <si>
    <t>SanMarino</t>
  </si>
  <si>
    <t>Saudi</t>
  </si>
  <si>
    <t>Singapore</t>
  </si>
  <si>
    <t>SouthKorea</t>
  </si>
  <si>
    <t>Syria</t>
  </si>
  <si>
    <t>6</t>
  </si>
  <si>
    <t>Tanzania</t>
  </si>
  <si>
    <t>Thailand</t>
  </si>
  <si>
    <t>Uganda</t>
  </si>
  <si>
    <t>Ukraine</t>
  </si>
  <si>
    <t>Uruguay</t>
  </si>
  <si>
    <t>Uzbekistan</t>
  </si>
  <si>
    <t>Venezuela</t>
  </si>
  <si>
    <t>7</t>
  </si>
  <si>
    <t>2 goals</t>
  </si>
  <si>
    <t>real</t>
  </si>
  <si>
    <t>Frankfurt</t>
  </si>
  <si>
    <t>psg</t>
  </si>
  <si>
    <t>win/draw</t>
  </si>
  <si>
    <t>23/11/2024  17:00</t>
  </si>
  <si>
    <t>lille</t>
  </si>
  <si>
    <t>24/11/2024  17:00</t>
  </si>
  <si>
    <t>atletico</t>
  </si>
  <si>
    <t>24/11/2024  19:30</t>
  </si>
  <si>
    <t>23/11/2024  16:30</t>
  </si>
  <si>
    <t>manunited</t>
  </si>
  <si>
    <t>24/11/2024  18:30</t>
  </si>
  <si>
    <t>24/11/2024  16:00</t>
  </si>
  <si>
    <t>23/11/2024  18:30</t>
  </si>
  <si>
    <t>copenhagen</t>
  </si>
  <si>
    <t>24/11/2024  19:00</t>
  </si>
  <si>
    <t>24/11/2024  22:00</t>
  </si>
  <si>
    <t>Benfic</t>
  </si>
  <si>
    <t>23/11/2024  22:00</t>
  </si>
  <si>
    <t>sturm graz</t>
  </si>
  <si>
    <t>donetsk</t>
  </si>
  <si>
    <t>23/11/2024  18:00</t>
  </si>
  <si>
    <t>SeriaA</t>
  </si>
  <si>
    <t>Eredivisie</t>
  </si>
  <si>
    <t>EgyptPrem</t>
  </si>
  <si>
    <t>EngChamp</t>
  </si>
  <si>
    <t>GreeceSuper</t>
  </si>
  <si>
    <t>SeriaB</t>
  </si>
  <si>
    <t>TurkSuper</t>
  </si>
  <si>
    <t>CroatiaHNL</t>
  </si>
  <si>
    <t>CyprusSuper</t>
  </si>
  <si>
    <t>LigaPortugal</t>
  </si>
  <si>
    <t>SerbiaPrem</t>
  </si>
  <si>
    <t>BundesLig2Germ</t>
  </si>
  <si>
    <t>Azerbaijan</t>
  </si>
  <si>
    <t>CyprusDiv2</t>
  </si>
  <si>
    <t>Bundesliga3Germ</t>
  </si>
  <si>
    <t>Laliga2</t>
  </si>
  <si>
    <t>IsraelPrem</t>
  </si>
  <si>
    <t>TurkDiv1</t>
  </si>
  <si>
    <t>Under 4</t>
  </si>
  <si>
    <t>turan tovaz</t>
  </si>
  <si>
    <t>Achyronas-Onisilos</t>
  </si>
  <si>
    <t>doxa</t>
  </si>
  <si>
    <t>1sthalf under 2,5</t>
  </si>
  <si>
    <t>Ayia Napa</t>
  </si>
  <si>
    <t>frankfurt</t>
  </si>
  <si>
    <t>stuttgart</t>
  </si>
  <si>
    <t>forest</t>
  </si>
  <si>
    <t>westHam</t>
  </si>
  <si>
    <t>fixFullOver 0,5</t>
  </si>
  <si>
    <t>ipswich</t>
  </si>
  <si>
    <t>hibernian</t>
  </si>
  <si>
    <t>leeds</t>
  </si>
  <si>
    <t>barca</t>
  </si>
  <si>
    <t>fix full over 1.5</t>
  </si>
  <si>
    <t>leyverku</t>
  </si>
  <si>
    <t>DC</t>
  </si>
  <si>
    <t>Mon 21:45</t>
  </si>
  <si>
    <t>Inter</t>
  </si>
  <si>
    <t>Mon 19:30</t>
  </si>
  <si>
    <t>Fiorentina</t>
  </si>
  <si>
    <t>Roma</t>
  </si>
  <si>
    <t>WinDraw</t>
  </si>
  <si>
    <t>Al hilal</t>
  </si>
  <si>
    <t>Genk</t>
  </si>
  <si>
    <t>Pirates</t>
  </si>
  <si>
    <t>Bournmouth</t>
  </si>
  <si>
    <t>FixFullover 1,5</t>
  </si>
  <si>
    <t>Sporting w</t>
  </si>
  <si>
    <t>Fc Barcelona</t>
  </si>
  <si>
    <t>DC over 1,5</t>
  </si>
  <si>
    <t>FrancNational</t>
  </si>
  <si>
    <t>Ligue2</t>
  </si>
  <si>
    <t>FranceLigue1</t>
  </si>
  <si>
    <t>GermBundasLiga</t>
  </si>
  <si>
    <t>LaLiga</t>
  </si>
  <si>
    <t>BelgiumJupiler</t>
  </si>
  <si>
    <t>BelgiumChallen</t>
  </si>
  <si>
    <t>SeriB</t>
  </si>
  <si>
    <t>EersteDiv</t>
  </si>
  <si>
    <t>PolandEkstra</t>
  </si>
  <si>
    <t>RomaniaSup</t>
  </si>
  <si>
    <t>QatarQSL</t>
  </si>
  <si>
    <t>SaudiPrem</t>
  </si>
  <si>
    <t>SouthAfricaPrem</t>
  </si>
  <si>
    <t>SwitzerChalleng</t>
  </si>
  <si>
    <t>Turk1Sup</t>
  </si>
  <si>
    <t>Lorient</t>
  </si>
  <si>
    <t>Benfica</t>
  </si>
  <si>
    <t>AZ Alkmaar</t>
  </si>
  <si>
    <t>PSG</t>
  </si>
  <si>
    <t>Lille</t>
  </si>
  <si>
    <t>H</t>
  </si>
  <si>
    <t>FrancLigue2</t>
  </si>
  <si>
    <t>KV Mechelen</t>
  </si>
  <si>
    <t>if KV mechelen scores for remainder of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</si>
</sst>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&quot;#,##0;[Red]\-&quot;R&quot;#,##0"/>
    <numFmt numFmtId="8" formatCode="&quot;R&quot;#,##0.00;[Red]\-&quot;R&quot;#,##0.00"/>
    <numFmt numFmtId="164" formatCode="&quot;R&quot;#,##0.00"/>
    <numFmt numFmtId="165" formatCode="yyyy/mm/dd;@"/>
  </numFmts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ADLaM Display"/>
    </font>
    <font>
      <i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A568D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D5E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D96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 style="thick">
        <color theme="1" tint="4.9989318521683403E-2"/>
      </bottom>
      <diagonal/>
    </border>
    <border>
      <left/>
      <right/>
      <top/>
      <bottom style="thick">
        <color theme="1" tint="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1" xfId="0" applyFill="1" applyBorder="1"/>
    <xf numFmtId="0" fontId="1" fillId="4" borderId="0" xfId="0" applyFont="1" applyFill="1"/>
    <xf numFmtId="0" fontId="0" fillId="4" borderId="2" xfId="0" applyFill="1" applyBorder="1"/>
    <xf numFmtId="0" fontId="0" fillId="4" borderId="3" xfId="0" applyFill="1" applyBorder="1"/>
    <xf numFmtId="0" fontId="2" fillId="4" borderId="0" xfId="0" applyFont="1" applyFill="1"/>
    <xf numFmtId="0" fontId="3" fillId="4" borderId="0" xfId="0" applyFont="1" applyFill="1"/>
    <xf numFmtId="0" fontId="0" fillId="5" borderId="0" xfId="0" applyFill="1"/>
    <xf numFmtId="0" fontId="0" fillId="6" borderId="4" xfId="0" applyFill="1" applyBorder="1"/>
    <xf numFmtId="0" fontId="4" fillId="7" borderId="0" xfId="0" applyFont="1" applyFill="1"/>
    <xf numFmtId="0" fontId="4" fillId="8" borderId="0" xfId="0" applyFont="1" applyFill="1"/>
    <xf numFmtId="0" fontId="0" fillId="9" borderId="0" xfId="0" applyFill="1"/>
    <xf numFmtId="6" fontId="0" fillId="0" borderId="0" xfId="0" applyNumberFormat="1"/>
    <xf numFmtId="0" fontId="5" fillId="0" borderId="0" xfId="0" applyFont="1" applyAlignment="1">
      <alignment vertical="center"/>
    </xf>
    <xf numFmtId="0" fontId="6" fillId="2" borderId="0" xfId="0" applyFont="1" applyFill="1"/>
    <xf numFmtId="6" fontId="7" fillId="0" borderId="0" xfId="0" applyNumberFormat="1" applyFont="1"/>
    <xf numFmtId="0" fontId="0" fillId="10" borderId="0" xfId="0" applyFill="1"/>
    <xf numFmtId="0" fontId="8" fillId="11" borderId="0" xfId="0" applyFont="1" applyFill="1"/>
    <xf numFmtId="0" fontId="0" fillId="0" borderId="0" xfId="0" applyAlignment="1">
      <alignment horizontal="right"/>
    </xf>
    <xf numFmtId="0" fontId="0" fillId="11" borderId="0" xfId="0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8" fillId="14" borderId="0" xfId="0" applyFont="1" applyFill="1"/>
    <xf numFmtId="2" fontId="0" fillId="10" borderId="0" xfId="0" applyNumberFormat="1" applyFill="1"/>
    <xf numFmtId="0" fontId="0" fillId="15" borderId="0" xfId="0" applyFill="1"/>
    <xf numFmtId="164" fontId="0" fillId="15" borderId="0" xfId="0" applyNumberFormat="1" applyFill="1"/>
    <xf numFmtId="0" fontId="0" fillId="0" borderId="0" xfId="0" applyAlignment="1">
      <alignment vertical="top"/>
    </xf>
    <xf numFmtId="0" fontId="16" fillId="0" borderId="0" xfId="0" applyFont="1"/>
    <xf numFmtId="0" fontId="0" fillId="12" borderId="0" xfId="0" applyFill="1" applyAlignment="1">
      <alignment horizontal="center" vertical="center"/>
    </xf>
    <xf numFmtId="0" fontId="19" fillId="0" borderId="0" xfId="0" applyFont="1" applyAlignment="1">
      <alignment vertical="center"/>
    </xf>
    <xf numFmtId="0" fontId="0" fillId="19" borderId="0" xfId="0" applyFill="1"/>
    <xf numFmtId="0" fontId="0" fillId="20" borderId="0" xfId="0" applyFill="1"/>
    <xf numFmtId="0" fontId="0" fillId="10" borderId="7" xfId="0" applyFill="1" applyBorder="1"/>
    <xf numFmtId="0" fontId="0" fillId="10" borderId="8" xfId="0" applyFill="1" applyBorder="1"/>
    <xf numFmtId="0" fontId="0" fillId="7" borderId="1" xfId="0" applyFill="1" applyBorder="1"/>
    <xf numFmtId="0" fontId="0" fillId="7" borderId="9" xfId="0" applyFill="1" applyBorder="1"/>
    <xf numFmtId="0" fontId="0" fillId="10" borderId="2" xfId="0" applyFill="1" applyBorder="1"/>
    <xf numFmtId="0" fontId="0" fillId="10" borderId="10" xfId="0" applyFill="1" applyBorder="1"/>
    <xf numFmtId="0" fontId="0" fillId="7" borderId="7" xfId="0" applyFill="1" applyBorder="1"/>
    <xf numFmtId="0" fontId="0" fillId="7" borderId="8" xfId="0" applyFill="1" applyBorder="1"/>
    <xf numFmtId="0" fontId="0" fillId="10" borderId="1" xfId="0" applyFill="1" applyBorder="1"/>
    <xf numFmtId="0" fontId="0" fillId="10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9" xfId="0" applyFill="1" applyBorder="1"/>
    <xf numFmtId="0" fontId="0" fillId="21" borderId="0" xfId="0" applyFill="1"/>
    <xf numFmtId="0" fontId="0" fillId="22" borderId="1" xfId="0" applyFill="1" applyBorder="1"/>
    <xf numFmtId="0" fontId="0" fillId="22" borderId="9" xfId="0" applyFill="1" applyBorder="1"/>
    <xf numFmtId="0" fontId="0" fillId="22" borderId="0" xfId="0" applyFill="1"/>
    <xf numFmtId="0" fontId="0" fillId="22" borderId="7" xfId="0" applyFill="1" applyBorder="1"/>
    <xf numFmtId="0" fontId="0" fillId="22" borderId="8" xfId="0" applyFill="1" applyBorder="1"/>
    <xf numFmtId="0" fontId="0" fillId="22" borderId="2" xfId="0" applyFill="1" applyBorder="1"/>
    <xf numFmtId="0" fontId="0" fillId="22" borderId="10" xfId="0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9" xfId="0" applyFont="1" applyFill="1" applyBorder="1"/>
    <xf numFmtId="0" fontId="0" fillId="0" borderId="11" xfId="0" applyBorder="1"/>
    <xf numFmtId="0" fontId="0" fillId="23" borderId="0" xfId="0" applyFill="1"/>
    <xf numFmtId="0" fontId="9" fillId="0" borderId="0" xfId="0" applyFont="1" applyAlignment="1">
      <alignment horizontal="left"/>
    </xf>
    <xf numFmtId="0" fontId="0" fillId="9" borderId="4" xfId="0" applyFill="1" applyBorder="1"/>
    <xf numFmtId="0" fontId="9" fillId="9" borderId="4" xfId="0" applyFont="1" applyFill="1" applyBorder="1" applyAlignment="1">
      <alignment horizontal="left"/>
    </xf>
    <xf numFmtId="16" fontId="0" fillId="0" borderId="0" xfId="0" applyNumberFormat="1"/>
    <xf numFmtId="0" fontId="0" fillId="0" borderId="4" xfId="0" applyBorder="1"/>
    <xf numFmtId="0" fontId="9" fillId="0" borderId="4" xfId="0" applyFont="1" applyBorder="1" applyAlignment="1">
      <alignment horizontal="left"/>
    </xf>
    <xf numFmtId="0" fontId="9" fillId="0" borderId="0" xfId="0" applyFont="1"/>
    <xf numFmtId="0" fontId="0" fillId="0" borderId="15" xfId="0" applyBorder="1"/>
    <xf numFmtId="0" fontId="9" fillId="0" borderId="4" xfId="0" applyFont="1" applyBorder="1"/>
    <xf numFmtId="8" fontId="0" fillId="0" borderId="0" xfId="0" applyNumberFormat="1"/>
    <xf numFmtId="20" fontId="0" fillId="0" borderId="0" xfId="0" applyNumberFormat="1"/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16" fontId="0" fillId="24" borderId="11" xfId="0" applyNumberFormat="1" applyFill="1" applyBorder="1"/>
    <xf numFmtId="0" fontId="9" fillId="24" borderId="11" xfId="0" applyFont="1" applyFill="1" applyBorder="1" applyAlignment="1">
      <alignment horizontal="left"/>
    </xf>
    <xf numFmtId="0" fontId="0" fillId="24" borderId="11" xfId="0" applyFill="1" applyBorder="1"/>
    <xf numFmtId="0" fontId="0" fillId="0" borderId="0" xfId="0" applyAlignment="1">
      <alignment horizontal="center" vertical="center"/>
    </xf>
    <xf numFmtId="0" fontId="9" fillId="25" borderId="0" xfId="0" applyFont="1" applyFill="1"/>
    <xf numFmtId="20" fontId="9" fillId="25" borderId="0" xfId="0" applyNumberFormat="1" applyFont="1" applyFill="1"/>
    <xf numFmtId="0" fontId="9" fillId="26" borderId="4" xfId="0" applyFont="1" applyFill="1" applyBorder="1"/>
    <xf numFmtId="20" fontId="9" fillId="27" borderId="0" xfId="0" applyNumberFormat="1" applyFont="1" applyFill="1"/>
    <xf numFmtId="20" fontId="9" fillId="18" borderId="0" xfId="0" applyNumberFormat="1" applyFont="1" applyFill="1"/>
    <xf numFmtId="165" fontId="0" fillId="0" borderId="0" xfId="0" applyNumberFormat="1"/>
    <xf numFmtId="165" fontId="0" fillId="2" borderId="0" xfId="0" applyNumberFormat="1" applyFill="1"/>
    <xf numFmtId="0" fontId="0" fillId="0" borderId="0" xfId="0" applyAlignment="1">
      <alignment horizontal="left"/>
    </xf>
    <xf numFmtId="0" fontId="3" fillId="0" borderId="0" xfId="0" applyFont="1"/>
    <xf numFmtId="49" fontId="0" fillId="0" borderId="0" xfId="0" applyNumberFormat="1"/>
    <xf numFmtId="0" fontId="0" fillId="0" borderId="0" xfId="0" applyAlignment="1">
      <alignment horizontal="left" vertical="center"/>
    </xf>
    <xf numFmtId="20" fontId="9" fillId="0" borderId="0" xfId="0" applyNumberFormat="1" applyFont="1"/>
    <xf numFmtId="49" fontId="9" fillId="0" borderId="0" xfId="0" applyNumberFormat="1" applyFont="1"/>
    <xf numFmtId="0" fontId="0" fillId="28" borderId="0" xfId="0" applyFill="1" applyAlignment="1">
      <alignment horizontal="left"/>
    </xf>
    <xf numFmtId="49" fontId="0" fillId="28" borderId="0" xfId="0" applyNumberFormat="1" applyFill="1"/>
    <xf numFmtId="0" fontId="3" fillId="2" borderId="0" xfId="0" applyFont="1" applyFill="1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16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30" borderId="0" xfId="0" applyFill="1" applyAlignment="1">
      <alignment horizontal="left" vertical="center"/>
    </xf>
    <xf numFmtId="0" fontId="0" fillId="31" borderId="0" xfId="0" applyFill="1"/>
    <xf numFmtId="0" fontId="0" fillId="29" borderId="0" xfId="0" applyFill="1"/>
    <xf numFmtId="0" fontId="0" fillId="30" borderId="0" xfId="0" applyFill="1"/>
    <xf numFmtId="0" fontId="0" fillId="32" borderId="0" xfId="0" applyFill="1"/>
    <xf numFmtId="0" fontId="0" fillId="28" borderId="0" xfId="0" applyFill="1"/>
    <xf numFmtId="0" fontId="0" fillId="33" borderId="0" xfId="0" applyFill="1"/>
    <xf numFmtId="0" fontId="0" fillId="30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1" fontId="0" fillId="30" borderId="0" xfId="0" applyNumberFormat="1" applyFill="1" applyAlignment="1">
      <alignment horizontal="center" vertical="center"/>
    </xf>
    <xf numFmtId="1" fontId="0" fillId="30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1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1" fontId="0" fillId="29" borderId="0" xfId="0" applyNumberFormat="1" applyFill="1" applyAlignment="1">
      <alignment horizontal="center"/>
    </xf>
    <xf numFmtId="1" fontId="0" fillId="30" borderId="0" xfId="0" applyNumberFormat="1" applyFill="1"/>
    <xf numFmtId="1" fontId="0" fillId="28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5" borderId="0" xfId="0" applyFill="1"/>
    <xf numFmtId="1" fontId="0" fillId="36" borderId="0" xfId="0" applyNumberFormat="1" applyFill="1" applyAlignment="1">
      <alignment horizontal="center"/>
    </xf>
    <xf numFmtId="0" fontId="0" fillId="37" borderId="0" xfId="0" applyFill="1"/>
    <xf numFmtId="1" fontId="0" fillId="37" borderId="0" xfId="0" applyNumberFormat="1" applyFill="1" applyAlignment="1">
      <alignment horizontal="center"/>
    </xf>
    <xf numFmtId="1" fontId="0" fillId="33" borderId="0" xfId="0" applyNumberFormat="1" applyFill="1"/>
    <xf numFmtId="0" fontId="0" fillId="35" borderId="0" xfId="0" applyFill="1" applyAlignment="1">
      <alignment horizontal="left" vertical="center"/>
    </xf>
    <xf numFmtId="1" fontId="0" fillId="35" borderId="0" xfId="0" applyNumberFormat="1" applyFill="1" applyAlignment="1">
      <alignment horizontal="center" vertical="center"/>
    </xf>
    <xf numFmtId="1" fontId="0" fillId="35" borderId="0" xfId="0" applyNumberFormat="1" applyFill="1" applyAlignment="1">
      <alignment horizontal="center"/>
    </xf>
    <xf numFmtId="0" fontId="0" fillId="12" borderId="16" xfId="0" applyFill="1" applyBorder="1"/>
    <xf numFmtId="0" fontId="0" fillId="12" borderId="17" xfId="0" applyFill="1" applyBorder="1"/>
    <xf numFmtId="0" fontId="0" fillId="12" borderId="18" xfId="0" applyFill="1" applyBorder="1"/>
    <xf numFmtId="0" fontId="0" fillId="0" borderId="19" xfId="0" applyBorder="1"/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20" fontId="0" fillId="10" borderId="0" xfId="0" applyNumberFormat="1" applyFill="1"/>
    <xf numFmtId="0" fontId="0" fillId="2" borderId="19" xfId="0" applyFill="1" applyBorder="1"/>
    <xf numFmtId="2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11" borderId="0" xfId="0" applyFill="1" applyAlignment="1">
      <alignment horizontal="center"/>
    </xf>
    <xf numFmtId="0" fontId="10" fillId="0" borderId="0" xfId="0" applyFont="1" applyAlignment="1">
      <alignment horizontal="left"/>
    </xf>
    <xf numFmtId="0" fontId="17" fillId="17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8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15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0" fontId="0" fillId="16" borderId="6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A568D2"/>
      <color rgb="FF8EA9DB"/>
      <color rgb="FFFF6161"/>
      <color rgb="FF0D5EFF"/>
      <color rgb="FFFFD966"/>
      <color rgb="FFAEAAAA"/>
      <color rgb="FF9999FF"/>
      <color rgb="FFFF33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F3B7-AED4-4ED9-86B8-FF928029EF41}">
  <sheetPr codeName="Sheet1"/>
  <dimension ref="A1:T45"/>
  <sheetViews>
    <sheetView workbookViewId="0">
      <selection activeCell="C32" sqref="C32"/>
    </sheetView>
  </sheetViews>
  <sheetFormatPr defaultRowHeight="14.4" x14ac:dyDescent="0.3"/>
  <cols>
    <col min="2" max="2" width="10.77734375" customWidth="1"/>
    <col min="3" max="3" width="17.5546875" customWidth="1"/>
    <col min="4" max="4" width="17.21875" bestFit="1" customWidth="1"/>
    <col min="5" max="5" width="28.5546875" bestFit="1" customWidth="1"/>
    <col min="6" max="6" width="23.21875" bestFit="1" customWidth="1"/>
    <col min="7" max="7" width="28.88671875" bestFit="1" customWidth="1"/>
    <col min="8" max="8" width="21.5546875" bestFit="1" customWidth="1"/>
    <col min="9" max="9" width="24.21875" bestFit="1" customWidth="1"/>
  </cols>
  <sheetData>
    <row r="1" spans="1:20" x14ac:dyDescent="0.3">
      <c r="A1" t="s">
        <v>0</v>
      </c>
      <c r="B1" s="3">
        <v>100</v>
      </c>
      <c r="C1" s="3">
        <v>200</v>
      </c>
      <c r="D1" s="9" t="s">
        <v>5</v>
      </c>
      <c r="E1" s="3"/>
      <c r="F1" s="3"/>
      <c r="G1" s="3"/>
      <c r="H1" s="3"/>
      <c r="I1" s="3"/>
      <c r="J1" s="3"/>
      <c r="K1" s="3"/>
      <c r="L1" s="3"/>
    </row>
    <row r="2" spans="1:20" x14ac:dyDescent="0.3">
      <c r="A2" t="s">
        <v>1</v>
      </c>
      <c r="B2" s="4"/>
      <c r="C2" s="3"/>
      <c r="D2" s="3">
        <v>400</v>
      </c>
      <c r="E2" s="3">
        <v>800</v>
      </c>
      <c r="F2" s="9" t="s">
        <v>5</v>
      </c>
      <c r="G2" s="3"/>
      <c r="H2" s="3"/>
      <c r="I2" s="3"/>
      <c r="J2" s="3"/>
      <c r="K2" s="3"/>
      <c r="L2" s="3"/>
    </row>
    <row r="3" spans="1:20" x14ac:dyDescent="0.3">
      <c r="A3" t="s">
        <v>2</v>
      </c>
      <c r="B3" s="4"/>
      <c r="C3" s="3"/>
      <c r="D3" s="3"/>
      <c r="E3" s="3"/>
      <c r="F3" s="5">
        <v>1600</v>
      </c>
      <c r="G3" s="5">
        <v>3200</v>
      </c>
      <c r="H3" s="8" t="s">
        <v>6</v>
      </c>
      <c r="I3" s="3"/>
      <c r="J3" s="3"/>
      <c r="K3" s="3"/>
      <c r="L3" s="3"/>
    </row>
    <row r="4" spans="1:20" x14ac:dyDescent="0.3">
      <c r="A4" t="s">
        <v>3</v>
      </c>
      <c r="B4" s="4"/>
      <c r="C4" s="3"/>
      <c r="D4" s="3"/>
      <c r="E4" s="3"/>
      <c r="F4" s="3"/>
      <c r="G4" s="3"/>
      <c r="H4" s="3">
        <v>64000</v>
      </c>
      <c r="I4" s="3">
        <v>12800</v>
      </c>
      <c r="J4" s="3"/>
      <c r="K4" s="3"/>
      <c r="L4" s="3"/>
    </row>
    <row r="5" spans="1:20" ht="15" thickBot="1" x14ac:dyDescent="0.35">
      <c r="A5" t="s">
        <v>4</v>
      </c>
      <c r="B5" s="6"/>
      <c r="C5" s="7"/>
      <c r="D5" s="7"/>
      <c r="E5" s="7"/>
      <c r="F5" s="7"/>
      <c r="G5" s="7"/>
      <c r="H5" s="7"/>
      <c r="I5" s="7"/>
      <c r="J5" s="7">
        <v>23600</v>
      </c>
      <c r="K5" s="7">
        <v>44200</v>
      </c>
      <c r="L5" s="3"/>
    </row>
    <row r="6" spans="1:20" x14ac:dyDescent="0.3">
      <c r="B6" s="1"/>
      <c r="C6" s="1"/>
      <c r="D6" s="1"/>
      <c r="E6" s="1"/>
      <c r="F6" s="1"/>
      <c r="G6" s="1"/>
      <c r="H6" s="1"/>
      <c r="I6" s="1"/>
      <c r="J6" s="2"/>
      <c r="K6" s="2"/>
    </row>
    <row r="7" spans="1:20" x14ac:dyDescent="0.3">
      <c r="B7" s="1"/>
      <c r="C7" s="1"/>
      <c r="D7" s="1"/>
      <c r="E7" s="1"/>
      <c r="F7" s="1"/>
      <c r="G7" s="1"/>
      <c r="H7" s="1"/>
      <c r="I7" s="1"/>
      <c r="J7" s="2"/>
      <c r="K7" s="2"/>
    </row>
    <row r="8" spans="1:20" ht="34.200000000000003" customHeight="1" x14ac:dyDescent="0.3">
      <c r="A8" t="s">
        <v>2</v>
      </c>
      <c r="B8" s="147">
        <v>45</v>
      </c>
      <c r="C8" s="147"/>
      <c r="D8" s="147"/>
      <c r="E8" s="147"/>
      <c r="F8" s="147"/>
      <c r="G8" s="147"/>
      <c r="H8" s="147"/>
      <c r="I8" s="147"/>
      <c r="J8">
        <f>45+45</f>
        <v>90</v>
      </c>
      <c r="K8">
        <f>90+90</f>
        <v>180</v>
      </c>
      <c r="L8">
        <f>180+180</f>
        <v>360</v>
      </c>
    </row>
    <row r="9" spans="1:20" ht="30.6" customHeight="1" x14ac:dyDescent="0.3">
      <c r="B9">
        <f>5+5</f>
        <v>10</v>
      </c>
      <c r="C9">
        <f>10+10</f>
        <v>20</v>
      </c>
      <c r="D9">
        <f>20+20</f>
        <v>40</v>
      </c>
      <c r="E9">
        <f>40+40</f>
        <v>80</v>
      </c>
      <c r="F9">
        <f>80+80</f>
        <v>160</v>
      </c>
      <c r="G9">
        <f>160+160</f>
        <v>320</v>
      </c>
      <c r="H9">
        <f>320+320</f>
        <v>640</v>
      </c>
    </row>
    <row r="10" spans="1:20" ht="29.4" customHeight="1" x14ac:dyDescent="0.3">
      <c r="A10" t="s">
        <v>3</v>
      </c>
      <c r="M10">
        <f>360+360</f>
        <v>720</v>
      </c>
      <c r="N10">
        <f>720+720</f>
        <v>1440</v>
      </c>
      <c r="O10">
        <f>1440+1440</f>
        <v>2880</v>
      </c>
      <c r="P10">
        <f>2880+2880</f>
        <v>5760</v>
      </c>
    </row>
    <row r="11" spans="1:20" ht="36" customHeight="1" x14ac:dyDescent="0.3"/>
    <row r="12" spans="1:20" x14ac:dyDescent="0.3">
      <c r="A12" t="s">
        <v>7</v>
      </c>
      <c r="Q12">
        <f>5760+5760</f>
        <v>11520</v>
      </c>
      <c r="R12">
        <f>11520+11520</f>
        <v>23040</v>
      </c>
      <c r="S12">
        <f>23040+23040</f>
        <v>46080</v>
      </c>
      <c r="T12">
        <f>46080+46080</f>
        <v>92160</v>
      </c>
    </row>
    <row r="13" spans="1:20" s="10" customFormat="1" x14ac:dyDescent="0.3"/>
    <row r="14" spans="1:20" s="10" customFormat="1" x14ac:dyDescent="0.3"/>
    <row r="15" spans="1:20" x14ac:dyDescent="0.3">
      <c r="A15" s="148" t="s">
        <v>0</v>
      </c>
      <c r="B15" s="149">
        <v>1000</v>
      </c>
      <c r="C15" s="12" t="s">
        <v>8</v>
      </c>
      <c r="D15" s="13" t="s">
        <v>9</v>
      </c>
    </row>
    <row r="16" spans="1:20" x14ac:dyDescent="0.3">
      <c r="A16" s="148"/>
      <c r="B16" s="149"/>
    </row>
    <row r="17" spans="1:9" x14ac:dyDescent="0.3">
      <c r="A17" t="s">
        <v>1</v>
      </c>
      <c r="B17" s="11">
        <v>2000</v>
      </c>
    </row>
    <row r="18" spans="1:9" x14ac:dyDescent="0.3">
      <c r="A18" t="s">
        <v>2</v>
      </c>
      <c r="B18" s="11">
        <v>4000</v>
      </c>
    </row>
    <row r="19" spans="1:9" x14ac:dyDescent="0.3">
      <c r="A19" t="s">
        <v>3</v>
      </c>
      <c r="B19" s="11">
        <v>8000</v>
      </c>
    </row>
    <row r="20" spans="1:9" s="14" customFormat="1" x14ac:dyDescent="0.3"/>
    <row r="21" spans="1:9" s="14" customFormat="1" x14ac:dyDescent="0.3"/>
    <row r="22" spans="1:9" s="14" customFormat="1" x14ac:dyDescent="0.3"/>
    <row r="23" spans="1:9" x14ac:dyDescent="0.3">
      <c r="A23" t="s">
        <v>2</v>
      </c>
      <c r="B23" s="18">
        <v>100</v>
      </c>
    </row>
    <row r="24" spans="1:9" ht="15.6" x14ac:dyDescent="0.3">
      <c r="B24" s="15"/>
      <c r="C24" t="s">
        <v>13</v>
      </c>
      <c r="D24" t="s">
        <v>10</v>
      </c>
      <c r="E24" t="s">
        <v>11</v>
      </c>
      <c r="F24" s="16" t="s">
        <v>12</v>
      </c>
    </row>
    <row r="25" spans="1:9" ht="15.6" x14ac:dyDescent="0.3">
      <c r="B25" s="15"/>
      <c r="F25" s="16"/>
      <c r="G25" t="s">
        <v>14</v>
      </c>
      <c r="H25" t="s">
        <v>15</v>
      </c>
      <c r="I25" s="17" t="s">
        <v>16</v>
      </c>
    </row>
    <row r="26" spans="1:9" x14ac:dyDescent="0.3">
      <c r="A26" t="s">
        <v>3</v>
      </c>
    </row>
    <row r="27" spans="1:9" s="14" customFormat="1" x14ac:dyDescent="0.3"/>
    <row r="28" spans="1:9" s="14" customFormat="1" x14ac:dyDescent="0.3"/>
    <row r="29" spans="1:9" s="14" customFormat="1" x14ac:dyDescent="0.3"/>
    <row r="30" spans="1:9" s="14" customFormat="1" x14ac:dyDescent="0.3"/>
    <row r="31" spans="1:9" x14ac:dyDescent="0.3">
      <c r="A31" s="148" t="s">
        <v>17</v>
      </c>
      <c r="B31" t="s">
        <v>18</v>
      </c>
      <c r="C31" t="s">
        <v>23</v>
      </c>
      <c r="D31" t="s">
        <v>24</v>
      </c>
    </row>
    <row r="32" spans="1:9" x14ac:dyDescent="0.3">
      <c r="A32" s="148"/>
      <c r="B32" t="s">
        <v>19</v>
      </c>
    </row>
    <row r="33" spans="1:2" x14ac:dyDescent="0.3">
      <c r="A33" s="148"/>
      <c r="B33" t="s">
        <v>20</v>
      </c>
    </row>
    <row r="34" spans="1:2" x14ac:dyDescent="0.3">
      <c r="A34" s="148"/>
      <c r="B34" t="s">
        <v>21</v>
      </c>
    </row>
    <row r="35" spans="1:2" x14ac:dyDescent="0.3">
      <c r="A35" s="148"/>
      <c r="B35" t="s">
        <v>22</v>
      </c>
    </row>
    <row r="36" spans="1:2" x14ac:dyDescent="0.3">
      <c r="A36" s="148"/>
    </row>
    <row r="37" spans="1:2" x14ac:dyDescent="0.3">
      <c r="A37" s="148"/>
    </row>
    <row r="45" spans="1:2" x14ac:dyDescent="0.3">
      <c r="A45" t="s">
        <v>7</v>
      </c>
    </row>
  </sheetData>
  <mergeCells count="4">
    <mergeCell ref="B8:I8"/>
    <mergeCell ref="A15:A16"/>
    <mergeCell ref="B15:B16"/>
    <mergeCell ref="A31:A37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74B3-303D-48EA-A446-945DE62E48E7}">
  <sheetPr codeName="Sheet3"/>
  <dimension ref="A1:AA61"/>
  <sheetViews>
    <sheetView topLeftCell="A3" zoomScale="65" zoomScaleNormal="65" workbookViewId="0">
      <selection activeCell="P11" sqref="P11"/>
    </sheetView>
  </sheetViews>
  <sheetFormatPr defaultRowHeight="14.4" x14ac:dyDescent="0.3"/>
  <cols>
    <col min="2" max="2" width="4.21875" customWidth="1"/>
    <col min="13" max="13" width="1.77734375" customWidth="1"/>
    <col min="14" max="14" width="10.21875" customWidth="1"/>
    <col min="16" max="16" width="12.21875" bestFit="1" customWidth="1"/>
    <col min="19" max="20" width="9.77734375" bestFit="1" customWidth="1"/>
    <col min="25" max="25" width="13.33203125" bestFit="1" customWidth="1"/>
    <col min="26" max="26" width="12.109375" customWidth="1"/>
  </cols>
  <sheetData>
    <row r="1" spans="1:27" s="20" customFormat="1" ht="15.6" x14ac:dyDescent="0.3">
      <c r="A1" s="20" t="s">
        <v>25</v>
      </c>
      <c r="N1" s="28"/>
    </row>
    <row r="2" spans="1:27" x14ac:dyDescent="0.3">
      <c r="A2">
        <v>1600</v>
      </c>
      <c r="B2" s="19"/>
      <c r="C2">
        <v>800</v>
      </c>
      <c r="D2">
        <v>400</v>
      </c>
      <c r="E2">
        <v>200</v>
      </c>
      <c r="F2">
        <v>100</v>
      </c>
      <c r="G2">
        <v>50</v>
      </c>
      <c r="H2">
        <v>25</v>
      </c>
      <c r="I2" s="21" t="s">
        <v>26</v>
      </c>
      <c r="J2">
        <v>6.25</v>
      </c>
      <c r="K2">
        <f>J2/2</f>
        <v>3.125</v>
      </c>
      <c r="L2">
        <f>K2/2</f>
        <v>1.5625</v>
      </c>
      <c r="M2" s="24"/>
    </row>
    <row r="3" spans="1:27" x14ac:dyDescent="0.3">
      <c r="A3">
        <v>3200</v>
      </c>
      <c r="B3" s="19"/>
      <c r="C3">
        <v>1600</v>
      </c>
      <c r="D3">
        <v>800</v>
      </c>
      <c r="E3">
        <v>400</v>
      </c>
      <c r="F3">
        <v>200</v>
      </c>
      <c r="G3">
        <v>100</v>
      </c>
      <c r="H3">
        <v>50</v>
      </c>
      <c r="I3">
        <v>25</v>
      </c>
      <c r="J3">
        <v>12.5</v>
      </c>
      <c r="K3">
        <f>J3/2</f>
        <v>6.25</v>
      </c>
      <c r="L3">
        <f t="shared" ref="L3:L11" si="0">K3/2</f>
        <v>3.125</v>
      </c>
      <c r="M3" s="24"/>
      <c r="N3">
        <v>1</v>
      </c>
      <c r="O3" s="30" t="s">
        <v>34</v>
      </c>
      <c r="P3" s="31">
        <v>13</v>
      </c>
      <c r="Q3" s="26"/>
    </row>
    <row r="4" spans="1:27" x14ac:dyDescent="0.3">
      <c r="A4">
        <v>6400</v>
      </c>
      <c r="B4" s="19"/>
      <c r="C4">
        <v>3200</v>
      </c>
      <c r="D4">
        <v>1600</v>
      </c>
      <c r="E4">
        <v>800</v>
      </c>
      <c r="F4">
        <v>400</v>
      </c>
      <c r="G4">
        <v>200</v>
      </c>
      <c r="H4">
        <v>100</v>
      </c>
      <c r="I4">
        <v>50</v>
      </c>
      <c r="J4">
        <v>25</v>
      </c>
      <c r="K4">
        <f t="shared" ref="K4:K11" si="1">J4/2</f>
        <v>12.5</v>
      </c>
      <c r="L4">
        <f t="shared" si="0"/>
        <v>6.25</v>
      </c>
      <c r="M4" s="24"/>
      <c r="N4">
        <v>2</v>
      </c>
      <c r="R4" s="27"/>
    </row>
    <row r="5" spans="1:27" x14ac:dyDescent="0.3">
      <c r="A5">
        <v>12800</v>
      </c>
      <c r="B5" s="19"/>
      <c r="C5">
        <v>6400</v>
      </c>
      <c r="D5">
        <v>3200</v>
      </c>
      <c r="E5">
        <v>1600</v>
      </c>
      <c r="F5">
        <v>800</v>
      </c>
      <c r="G5">
        <v>400</v>
      </c>
      <c r="H5">
        <v>200</v>
      </c>
      <c r="I5">
        <v>100</v>
      </c>
      <c r="J5">
        <v>50</v>
      </c>
      <c r="K5">
        <f t="shared" si="1"/>
        <v>25</v>
      </c>
      <c r="L5">
        <f t="shared" si="0"/>
        <v>12.5</v>
      </c>
      <c r="M5" s="24"/>
      <c r="N5">
        <v>3</v>
      </c>
      <c r="O5" s="151" t="s">
        <v>35</v>
      </c>
      <c r="P5" s="151"/>
      <c r="Q5" s="151"/>
      <c r="R5" s="151"/>
      <c r="S5" s="151"/>
      <c r="T5" s="151"/>
      <c r="U5" s="151"/>
      <c r="V5" s="32"/>
      <c r="W5" s="32"/>
      <c r="Y5" s="29">
        <v>13</v>
      </c>
      <c r="Z5" s="29">
        <v>0.3</v>
      </c>
      <c r="AA5" s="19"/>
    </row>
    <row r="6" spans="1:27" x14ac:dyDescent="0.3">
      <c r="A6">
        <v>25600</v>
      </c>
      <c r="B6" s="19"/>
      <c r="C6">
        <v>12800</v>
      </c>
      <c r="D6">
        <v>6400</v>
      </c>
      <c r="E6">
        <v>3200</v>
      </c>
      <c r="F6">
        <v>1600</v>
      </c>
      <c r="G6">
        <v>800</v>
      </c>
      <c r="H6">
        <v>400</v>
      </c>
      <c r="I6">
        <v>200</v>
      </c>
      <c r="J6">
        <v>100</v>
      </c>
      <c r="K6">
        <f t="shared" si="1"/>
        <v>50</v>
      </c>
      <c r="L6">
        <f t="shared" si="0"/>
        <v>25</v>
      </c>
      <c r="M6" s="24"/>
      <c r="N6">
        <v>4</v>
      </c>
      <c r="O6" s="151"/>
      <c r="P6" s="151"/>
      <c r="Q6" s="151"/>
      <c r="R6" s="151"/>
      <c r="S6" s="151"/>
      <c r="T6" s="151"/>
      <c r="U6" s="151"/>
      <c r="V6" s="32"/>
      <c r="W6" s="32"/>
      <c r="Y6">
        <f>Y5*Z5+Y5</f>
        <v>16.899999999999999</v>
      </c>
      <c r="Z6" s="26"/>
    </row>
    <row r="7" spans="1:27" x14ac:dyDescent="0.3">
      <c r="A7">
        <v>51120</v>
      </c>
      <c r="B7" s="19"/>
      <c r="C7">
        <v>25600</v>
      </c>
      <c r="D7">
        <v>12800</v>
      </c>
      <c r="E7">
        <v>6400</v>
      </c>
      <c r="F7">
        <v>3200</v>
      </c>
      <c r="G7">
        <v>1600</v>
      </c>
      <c r="H7">
        <v>800</v>
      </c>
      <c r="I7">
        <v>400</v>
      </c>
      <c r="J7">
        <v>200</v>
      </c>
      <c r="K7">
        <f t="shared" si="1"/>
        <v>100</v>
      </c>
      <c r="L7">
        <f t="shared" si="0"/>
        <v>50</v>
      </c>
      <c r="M7" s="24"/>
      <c r="N7">
        <v>5</v>
      </c>
      <c r="O7" s="151" t="s">
        <v>36</v>
      </c>
      <c r="P7" s="151"/>
      <c r="Q7" s="151"/>
      <c r="R7" s="151"/>
      <c r="S7" s="151"/>
      <c r="T7" s="151"/>
      <c r="U7" s="151"/>
      <c r="V7" s="32"/>
      <c r="W7" s="32"/>
      <c r="Y7">
        <f>Y6*Z5+Y6</f>
        <v>21.97</v>
      </c>
    </row>
    <row r="8" spans="1:27" x14ac:dyDescent="0.3">
      <c r="A8">
        <v>122400</v>
      </c>
      <c r="B8" s="19"/>
      <c r="C8">
        <v>51120</v>
      </c>
      <c r="D8">
        <v>25600</v>
      </c>
      <c r="E8">
        <v>12800</v>
      </c>
      <c r="F8">
        <v>6400</v>
      </c>
      <c r="G8">
        <v>3200</v>
      </c>
      <c r="H8">
        <v>1600</v>
      </c>
      <c r="I8">
        <v>800</v>
      </c>
      <c r="J8">
        <v>400</v>
      </c>
      <c r="K8">
        <f t="shared" si="1"/>
        <v>200</v>
      </c>
      <c r="L8">
        <f t="shared" si="0"/>
        <v>100</v>
      </c>
      <c r="M8" s="24"/>
      <c r="N8">
        <v>6</v>
      </c>
      <c r="O8" s="151"/>
      <c r="P8" s="151"/>
      <c r="Q8" s="151"/>
      <c r="R8" s="151"/>
      <c r="S8" s="151"/>
      <c r="T8" s="151"/>
      <c r="U8" s="151"/>
      <c r="V8" s="32"/>
      <c r="W8" s="32"/>
      <c r="Y8">
        <f>Y7*Z5+Y7</f>
        <v>28.561</v>
      </c>
    </row>
    <row r="9" spans="1:27" x14ac:dyDescent="0.3">
      <c r="A9">
        <v>244800</v>
      </c>
      <c r="B9" s="19"/>
      <c r="C9">
        <v>122400</v>
      </c>
      <c r="D9">
        <v>51120</v>
      </c>
      <c r="E9">
        <v>25600</v>
      </c>
      <c r="F9">
        <v>12800</v>
      </c>
      <c r="G9">
        <v>6400</v>
      </c>
      <c r="H9">
        <v>3200</v>
      </c>
      <c r="I9">
        <v>1600</v>
      </c>
      <c r="J9">
        <v>800</v>
      </c>
      <c r="K9">
        <f t="shared" si="1"/>
        <v>400</v>
      </c>
      <c r="L9">
        <f t="shared" si="0"/>
        <v>200</v>
      </c>
      <c r="M9" s="24"/>
      <c r="N9">
        <v>7</v>
      </c>
      <c r="O9" s="32">
        <v>48</v>
      </c>
      <c r="P9" s="32"/>
      <c r="Q9" s="32"/>
      <c r="R9" s="32"/>
      <c r="S9" s="32"/>
      <c r="T9" s="32"/>
      <c r="U9" s="32"/>
      <c r="V9" s="32"/>
      <c r="W9" s="32"/>
      <c r="Y9">
        <f>Y8*Z5+Y8</f>
        <v>37.129300000000001</v>
      </c>
    </row>
    <row r="10" spans="1:27" x14ac:dyDescent="0.3">
      <c r="A10">
        <v>489600</v>
      </c>
      <c r="B10" s="19"/>
      <c r="C10">
        <v>244800</v>
      </c>
      <c r="D10">
        <v>122400</v>
      </c>
      <c r="E10">
        <v>51120</v>
      </c>
      <c r="F10">
        <v>25600</v>
      </c>
      <c r="G10">
        <v>12800</v>
      </c>
      <c r="H10">
        <v>6400</v>
      </c>
      <c r="I10">
        <v>3200</v>
      </c>
      <c r="J10">
        <v>1600</v>
      </c>
      <c r="K10">
        <f t="shared" si="1"/>
        <v>800</v>
      </c>
      <c r="L10">
        <f t="shared" si="0"/>
        <v>400</v>
      </c>
      <c r="M10" s="24"/>
      <c r="N10">
        <v>8</v>
      </c>
      <c r="P10">
        <f>130*0.3+130</f>
        <v>169</v>
      </c>
      <c r="Q10" s="157">
        <v>1</v>
      </c>
      <c r="Y10">
        <f>Y9*Z5+Y9</f>
        <v>48.268090000000001</v>
      </c>
    </row>
    <row r="11" spans="1:27" ht="14.4" customHeight="1" x14ac:dyDescent="0.3">
      <c r="A11">
        <f>A10*2</f>
        <v>979200</v>
      </c>
      <c r="B11" s="19"/>
      <c r="C11">
        <v>489600</v>
      </c>
      <c r="D11">
        <v>244800</v>
      </c>
      <c r="E11">
        <v>122400</v>
      </c>
      <c r="F11">
        <v>51120</v>
      </c>
      <c r="G11">
        <v>25600</v>
      </c>
      <c r="H11">
        <v>12800</v>
      </c>
      <c r="I11">
        <v>6400</v>
      </c>
      <c r="J11">
        <v>3200</v>
      </c>
      <c r="K11">
        <f t="shared" si="1"/>
        <v>1600</v>
      </c>
      <c r="L11">
        <f t="shared" si="0"/>
        <v>800</v>
      </c>
      <c r="M11" s="24"/>
      <c r="N11">
        <v>9</v>
      </c>
      <c r="P11">
        <f>169*0.3+169</f>
        <v>219.7</v>
      </c>
      <c r="Q11" s="157"/>
      <c r="R11" s="158">
        <v>2</v>
      </c>
      <c r="S11" s="35"/>
      <c r="Y11">
        <f>Y10*Z5+Y10</f>
        <v>62.748517</v>
      </c>
    </row>
    <row r="12" spans="1:27" ht="14.4" customHeight="1" x14ac:dyDescent="0.3">
      <c r="M12" s="24"/>
      <c r="N12">
        <v>10</v>
      </c>
      <c r="P12">
        <f>220*0.3+220</f>
        <v>286</v>
      </c>
      <c r="Q12" s="157"/>
      <c r="R12" s="158"/>
      <c r="S12" s="159">
        <v>4</v>
      </c>
      <c r="Y12">
        <f>Y11*Z5+Y11</f>
        <v>81.57307209999999</v>
      </c>
    </row>
    <row r="13" spans="1:27" ht="14.4" customHeight="1" x14ac:dyDescent="0.3">
      <c r="K13" s="22">
        <v>7</v>
      </c>
      <c r="M13" s="24"/>
      <c r="N13">
        <v>11</v>
      </c>
      <c r="P13">
        <f>286*0.3+286</f>
        <v>371.8</v>
      </c>
      <c r="Q13" s="157"/>
      <c r="R13" s="158"/>
      <c r="S13" s="159"/>
      <c r="T13" s="160">
        <v>8</v>
      </c>
      <c r="Y13">
        <f>Y12*Z5+Y12</f>
        <v>106.04499372999999</v>
      </c>
    </row>
    <row r="14" spans="1:27" ht="14.4" customHeight="1" x14ac:dyDescent="0.3">
      <c r="J14" s="155">
        <v>14</v>
      </c>
      <c r="K14" s="155"/>
      <c r="M14" s="24"/>
      <c r="N14">
        <v>12</v>
      </c>
      <c r="P14">
        <f>372*0.3+372</f>
        <v>483.6</v>
      </c>
      <c r="Q14" s="157"/>
      <c r="R14" s="158"/>
      <c r="S14" s="159"/>
      <c r="T14" s="160"/>
      <c r="U14" s="150">
        <v>16</v>
      </c>
      <c r="Y14">
        <f>Y13*Z5+Y13</f>
        <v>137.85849184899999</v>
      </c>
    </row>
    <row r="15" spans="1:27" ht="14.4" customHeight="1" x14ac:dyDescent="0.3">
      <c r="I15" s="155">
        <v>28</v>
      </c>
      <c r="J15" s="155"/>
      <c r="K15" s="155"/>
      <c r="M15" s="24"/>
      <c r="N15">
        <v>13</v>
      </c>
      <c r="P15">
        <f>484*0.3+484</f>
        <v>629.20000000000005</v>
      </c>
      <c r="Q15" s="157"/>
      <c r="R15" s="158"/>
      <c r="S15" s="159"/>
      <c r="T15" s="160"/>
      <c r="U15" s="150"/>
      <c r="Y15">
        <f>Y14*Z5+Y14</f>
        <v>179.21603940369999</v>
      </c>
    </row>
    <row r="16" spans="1:27" ht="14.4" customHeight="1" x14ac:dyDescent="0.3">
      <c r="H16" s="155">
        <v>56</v>
      </c>
      <c r="I16" s="155"/>
      <c r="J16" s="155"/>
      <c r="K16" s="155"/>
      <c r="M16" s="24"/>
      <c r="N16">
        <v>14</v>
      </c>
      <c r="P16">
        <f>630*0.3+630</f>
        <v>819</v>
      </c>
      <c r="Q16" s="157"/>
      <c r="R16" s="158"/>
      <c r="S16" s="159"/>
      <c r="T16" s="160"/>
      <c r="U16" s="150"/>
      <c r="Y16">
        <f>Y15*Z5+Y15</f>
        <v>232.98085122480998</v>
      </c>
    </row>
    <row r="17" spans="3:25" ht="14.4" customHeight="1" x14ac:dyDescent="0.3">
      <c r="G17" s="155">
        <v>106</v>
      </c>
      <c r="H17" s="155"/>
      <c r="I17" s="155"/>
      <c r="J17" s="155"/>
      <c r="K17" s="155"/>
      <c r="M17" s="24"/>
      <c r="N17">
        <v>15</v>
      </c>
      <c r="P17">
        <f>820*0.3+820</f>
        <v>1066</v>
      </c>
      <c r="Q17" s="157"/>
      <c r="R17" s="158"/>
      <c r="S17" s="159"/>
      <c r="T17" s="160"/>
      <c r="U17" s="150"/>
      <c r="Y17">
        <f>Y16*Z5+Y16</f>
        <v>302.87510659225296</v>
      </c>
    </row>
    <row r="18" spans="3:25" ht="14.4" customHeight="1" x14ac:dyDescent="0.3">
      <c r="F18" s="155">
        <v>212</v>
      </c>
      <c r="G18" s="155"/>
      <c r="H18" s="155"/>
      <c r="I18" s="155"/>
      <c r="J18" s="155"/>
      <c r="K18" s="155"/>
      <c r="M18" s="24"/>
      <c r="N18">
        <v>16</v>
      </c>
      <c r="P18">
        <f>1066*0.3+1066</f>
        <v>1385.8</v>
      </c>
      <c r="Q18" s="157"/>
      <c r="R18" s="158"/>
      <c r="S18" s="159"/>
      <c r="T18" s="160"/>
      <c r="U18" s="150"/>
      <c r="Y18">
        <f>Y17*Z5+Y17</f>
        <v>393.73763856992883</v>
      </c>
    </row>
    <row r="19" spans="3:25" ht="14.4" customHeight="1" x14ac:dyDescent="0.3">
      <c r="E19" s="155">
        <v>424</v>
      </c>
      <c r="F19" s="155"/>
      <c r="G19" s="155"/>
      <c r="H19" s="155"/>
      <c r="I19" s="155"/>
      <c r="J19" s="155"/>
      <c r="K19" s="155"/>
      <c r="M19" s="24"/>
      <c r="N19">
        <v>17</v>
      </c>
      <c r="P19">
        <f>1386*0.3+1386</f>
        <v>1801.8</v>
      </c>
      <c r="Q19" s="157"/>
      <c r="R19" s="158"/>
      <c r="S19" s="159"/>
      <c r="T19" s="160"/>
      <c r="U19" s="150"/>
      <c r="Y19">
        <f>Y18*Z5+Y18</f>
        <v>511.85893014090749</v>
      </c>
    </row>
    <row r="20" spans="3:25" ht="14.4" customHeight="1" x14ac:dyDescent="0.3">
      <c r="D20" s="155">
        <v>848</v>
      </c>
      <c r="E20" s="155"/>
      <c r="F20" s="155"/>
      <c r="G20" s="155"/>
      <c r="H20" s="155"/>
      <c r="I20" s="155"/>
      <c r="J20" s="155"/>
      <c r="K20" s="155"/>
      <c r="M20" s="24"/>
      <c r="N20">
        <v>18</v>
      </c>
      <c r="P20">
        <f>1802*0.3+1802</f>
        <v>2342.6</v>
      </c>
      <c r="Q20" s="157"/>
      <c r="R20" s="158"/>
      <c r="S20" s="159"/>
      <c r="T20" s="160"/>
      <c r="U20" s="150"/>
      <c r="Y20">
        <f>Y19*Z5+Y19</f>
        <v>665.41660918317973</v>
      </c>
    </row>
    <row r="21" spans="3:25" ht="14.4" customHeight="1" x14ac:dyDescent="0.3">
      <c r="C21" s="155">
        <v>1654</v>
      </c>
      <c r="D21" s="155"/>
      <c r="E21" s="155"/>
      <c r="F21" s="155"/>
      <c r="G21" s="155"/>
      <c r="H21" s="155"/>
      <c r="I21" s="155"/>
      <c r="J21" s="155"/>
      <c r="K21" s="155"/>
      <c r="M21" s="24"/>
      <c r="N21">
        <v>19</v>
      </c>
      <c r="P21">
        <f>2342*0.3+2343</f>
        <v>3045.6</v>
      </c>
      <c r="Q21" s="157"/>
      <c r="R21" s="158"/>
      <c r="S21" s="159"/>
      <c r="T21" s="160"/>
      <c r="U21" s="150"/>
      <c r="Y21">
        <f>Y20*Z5+Y20</f>
        <v>865.04159193813371</v>
      </c>
    </row>
    <row r="22" spans="3:25" ht="14.4" customHeight="1" x14ac:dyDescent="0.3">
      <c r="C22" s="22"/>
      <c r="D22" s="22"/>
      <c r="E22" s="22"/>
      <c r="F22" s="22"/>
      <c r="G22" s="22"/>
      <c r="H22" s="22"/>
      <c r="I22" s="22"/>
      <c r="J22" s="22"/>
      <c r="K22" s="22"/>
      <c r="M22" s="24"/>
      <c r="N22">
        <v>20</v>
      </c>
      <c r="P22">
        <f>3045*0.3+3045</f>
        <v>3958.5</v>
      </c>
      <c r="Q22" s="157"/>
      <c r="R22" s="158"/>
      <c r="S22" s="159"/>
      <c r="T22" s="160"/>
      <c r="U22" s="150"/>
      <c r="Y22">
        <f>Y21*Z5+Y21</f>
        <v>1124.5540695195739</v>
      </c>
    </row>
    <row r="23" spans="3:25" ht="14.4" customHeight="1" x14ac:dyDescent="0.3">
      <c r="C23" s="25"/>
      <c r="D23" s="25"/>
      <c r="E23" s="25"/>
      <c r="F23" s="25"/>
      <c r="G23" s="25"/>
      <c r="H23" s="25"/>
      <c r="I23" s="25"/>
      <c r="J23" s="25"/>
      <c r="K23" s="25"/>
      <c r="M23" s="24"/>
      <c r="N23">
        <v>21</v>
      </c>
      <c r="P23">
        <f>3959*0.3+3959</f>
        <v>5146.7</v>
      </c>
      <c r="Q23" s="157"/>
      <c r="R23" s="158"/>
      <c r="S23" s="159"/>
      <c r="T23" s="160"/>
      <c r="U23" s="150"/>
      <c r="Y23">
        <f>Y22*Z5+Y22</f>
        <v>1461.920290375446</v>
      </c>
    </row>
    <row r="24" spans="3:25" ht="14.4" customHeight="1" x14ac:dyDescent="0.3">
      <c r="C24" s="25"/>
      <c r="D24" s="25"/>
      <c r="E24" s="25"/>
      <c r="F24" s="25"/>
      <c r="G24" s="25"/>
      <c r="H24" s="25"/>
      <c r="I24" s="25"/>
      <c r="J24" s="25"/>
      <c r="K24" s="25"/>
      <c r="M24" s="24"/>
      <c r="N24">
        <v>22</v>
      </c>
      <c r="P24">
        <f>5147*0.3+5147</f>
        <v>6691.1</v>
      </c>
      <c r="Q24" s="157"/>
      <c r="R24" s="158"/>
      <c r="S24" s="159"/>
      <c r="T24" s="160"/>
      <c r="U24" s="150"/>
      <c r="Y24">
        <f>Y23*Z5+Y23</f>
        <v>1900.4963774880798</v>
      </c>
    </row>
    <row r="25" spans="3:25" ht="14.4" customHeight="1" x14ac:dyDescent="0.3">
      <c r="C25" s="25"/>
      <c r="D25" s="25"/>
      <c r="E25" s="25"/>
      <c r="F25" s="25"/>
      <c r="G25" s="25"/>
      <c r="H25" s="25"/>
      <c r="I25" s="25"/>
      <c r="J25" s="25"/>
      <c r="K25" s="25"/>
      <c r="M25" s="24"/>
      <c r="N25">
        <v>23</v>
      </c>
      <c r="P25">
        <f>6691*0.3+6691</f>
        <v>8698.2999999999993</v>
      </c>
      <c r="Q25" s="157"/>
      <c r="R25" s="158"/>
      <c r="S25" s="159"/>
      <c r="T25" s="160"/>
      <c r="U25" s="150"/>
      <c r="Y25">
        <f>Y24*Z5+Y24</f>
        <v>2470.6452907345038</v>
      </c>
    </row>
    <row r="26" spans="3:25" ht="14.4" customHeight="1" x14ac:dyDescent="0.3">
      <c r="C26" s="25"/>
      <c r="D26" s="25"/>
      <c r="E26" s="25"/>
      <c r="F26" s="25"/>
      <c r="G26" s="25"/>
      <c r="H26" s="25"/>
      <c r="I26" s="25"/>
      <c r="J26" s="25"/>
      <c r="K26" s="25"/>
      <c r="M26" s="24"/>
      <c r="N26">
        <v>24</v>
      </c>
      <c r="P26">
        <f>8698*0.3+8698</f>
        <v>11307.4</v>
      </c>
      <c r="Q26" s="157"/>
      <c r="R26" s="158"/>
      <c r="S26" s="159"/>
      <c r="T26" s="160"/>
      <c r="U26" s="150"/>
      <c r="Y26">
        <f>Y25*Z5+Y25</f>
        <v>3211.838877954855</v>
      </c>
    </row>
    <row r="27" spans="3:25" ht="14.4" customHeight="1" x14ac:dyDescent="0.3">
      <c r="C27" s="25"/>
      <c r="D27" s="25"/>
      <c r="E27" s="25"/>
      <c r="F27" s="25"/>
      <c r="G27" s="25"/>
      <c r="H27" s="25"/>
      <c r="I27" s="25"/>
      <c r="J27" s="25"/>
      <c r="K27" s="25"/>
      <c r="M27" s="24"/>
      <c r="N27">
        <v>25</v>
      </c>
      <c r="P27">
        <f>11307*0.3+11307</f>
        <v>14699.1</v>
      </c>
      <c r="Q27" s="157"/>
      <c r="R27" s="158"/>
      <c r="S27" s="159"/>
      <c r="T27" s="160"/>
      <c r="U27" s="150"/>
      <c r="Y27">
        <f>Y26*Z5+Y26</f>
        <v>4175.3905413413113</v>
      </c>
    </row>
    <row r="28" spans="3:25" ht="14.4" customHeight="1" x14ac:dyDescent="0.3">
      <c r="C28" s="25"/>
      <c r="D28" s="25"/>
      <c r="E28" s="25"/>
      <c r="F28" s="25"/>
      <c r="G28" s="25"/>
      <c r="H28" s="25"/>
      <c r="I28" s="25"/>
      <c r="J28" s="25"/>
      <c r="K28" s="25"/>
      <c r="M28" s="24"/>
      <c r="N28">
        <v>26</v>
      </c>
      <c r="P28">
        <f>14699*0.3+14699</f>
        <v>19108.7</v>
      </c>
      <c r="Q28" s="157"/>
      <c r="R28" s="158"/>
      <c r="S28" s="159"/>
      <c r="T28" s="160"/>
      <c r="U28" s="150"/>
      <c r="Y28">
        <f>Y27*Z5+Y27</f>
        <v>5428.007703743705</v>
      </c>
    </row>
    <row r="29" spans="3:25" ht="14.4" customHeight="1" x14ac:dyDescent="0.3">
      <c r="C29" s="25"/>
      <c r="D29" s="25"/>
      <c r="E29" s="25"/>
      <c r="F29" s="25"/>
      <c r="G29" s="25"/>
      <c r="H29" s="25"/>
      <c r="I29" s="25"/>
      <c r="J29" s="25"/>
      <c r="K29" s="25"/>
      <c r="M29" s="24"/>
      <c r="N29">
        <v>27</v>
      </c>
      <c r="P29">
        <f>19109*0.3+19109</f>
        <v>24841.7</v>
      </c>
      <c r="Q29" s="157"/>
      <c r="R29" s="158"/>
      <c r="S29" s="159"/>
      <c r="T29" s="160"/>
      <c r="U29" s="150"/>
      <c r="Y29">
        <f>Y28*Z5+Y28</f>
        <v>7056.4100148668167</v>
      </c>
    </row>
    <row r="30" spans="3:25" ht="14.4" customHeight="1" x14ac:dyDescent="0.3">
      <c r="C30" s="25"/>
      <c r="D30" s="25"/>
      <c r="E30" s="25"/>
      <c r="F30" s="25"/>
      <c r="G30" s="25"/>
      <c r="H30" s="25"/>
      <c r="I30" s="25"/>
      <c r="J30" s="25"/>
      <c r="K30" s="25"/>
      <c r="M30" s="24"/>
      <c r="N30">
        <v>28</v>
      </c>
      <c r="P30">
        <f>24842*0.3+24842</f>
        <v>32294.6</v>
      </c>
      <c r="Q30" s="157"/>
      <c r="R30" s="158"/>
      <c r="S30" s="159"/>
      <c r="T30" s="160"/>
      <c r="U30" s="150"/>
      <c r="Y30">
        <f>Y29*Z5+Y29</f>
        <v>9173.3330193268612</v>
      </c>
    </row>
    <row r="31" spans="3:25" ht="14.4" customHeight="1" x14ac:dyDescent="0.3">
      <c r="C31" s="25"/>
      <c r="D31" s="25"/>
      <c r="E31" s="25"/>
      <c r="F31" s="25"/>
      <c r="G31" s="25"/>
      <c r="H31" s="25"/>
      <c r="I31" s="25"/>
      <c r="J31" s="25"/>
      <c r="K31" s="25"/>
      <c r="M31" s="24"/>
      <c r="N31">
        <v>29</v>
      </c>
      <c r="P31">
        <f>32295*0.3+32294</f>
        <v>41982.5</v>
      </c>
      <c r="Q31" s="157"/>
      <c r="R31" s="158"/>
      <c r="S31" s="159"/>
      <c r="T31" s="160"/>
      <c r="U31" s="150"/>
      <c r="Y31">
        <f>Y30*Z5+Y30</f>
        <v>11925.33292512492</v>
      </c>
    </row>
    <row r="32" spans="3:25" ht="14.4" customHeight="1" x14ac:dyDescent="0.3">
      <c r="C32" s="25"/>
      <c r="D32" s="25"/>
      <c r="E32" s="25"/>
      <c r="F32" s="25"/>
      <c r="G32" s="25"/>
      <c r="H32" s="25"/>
      <c r="I32" s="25"/>
      <c r="J32" s="25"/>
      <c r="K32" s="25"/>
      <c r="M32" s="24"/>
      <c r="N32">
        <v>30</v>
      </c>
      <c r="P32">
        <f>41983*0.3+41983</f>
        <v>54577.9</v>
      </c>
      <c r="Q32" s="157"/>
      <c r="R32" s="158"/>
      <c r="S32" s="159"/>
      <c r="T32" s="160"/>
      <c r="U32" s="150"/>
      <c r="Y32" s="26">
        <f>Y31*Z5+Y31</f>
        <v>15502.932802662395</v>
      </c>
    </row>
    <row r="33" spans="3:25" ht="14.4" customHeight="1" x14ac:dyDescent="0.3">
      <c r="C33" s="25"/>
      <c r="D33" s="25"/>
      <c r="E33" s="25"/>
      <c r="F33" s="25"/>
      <c r="G33" s="25"/>
      <c r="H33" s="25"/>
      <c r="I33" s="25"/>
      <c r="J33" s="25"/>
      <c r="K33" s="25"/>
      <c r="M33" s="24"/>
      <c r="N33">
        <v>31</v>
      </c>
      <c r="P33">
        <f>54578*0.3+54578</f>
        <v>70951.399999999994</v>
      </c>
      <c r="Q33" s="157"/>
      <c r="R33" s="158"/>
      <c r="S33" s="159"/>
      <c r="T33" s="160"/>
      <c r="U33" s="150"/>
      <c r="Y33">
        <f>Y32*Z5+Y32</f>
        <v>20153.812643461115</v>
      </c>
    </row>
    <row r="34" spans="3:25" ht="14.4" customHeight="1" x14ac:dyDescent="0.3">
      <c r="C34" s="25"/>
      <c r="D34" s="25"/>
      <c r="E34" s="25"/>
      <c r="F34" s="25"/>
      <c r="G34" s="25"/>
      <c r="H34" s="25"/>
      <c r="I34" s="25"/>
      <c r="J34" s="25"/>
      <c r="K34" s="25"/>
      <c r="M34" s="24"/>
      <c r="N34">
        <v>32</v>
      </c>
      <c r="P34">
        <f>70951*0.3+70951</f>
        <v>92236.3</v>
      </c>
      <c r="Q34" s="157"/>
      <c r="R34" s="158"/>
      <c r="S34" s="159"/>
      <c r="T34" s="160"/>
      <c r="U34" s="150"/>
      <c r="Y34">
        <f>Y33*Z5+Y33</f>
        <v>26199.956436499451</v>
      </c>
    </row>
    <row r="35" spans="3:25" ht="14.4" customHeight="1" x14ac:dyDescent="0.3">
      <c r="C35" s="25"/>
      <c r="D35" s="25"/>
      <c r="E35" s="25"/>
      <c r="F35" s="25"/>
      <c r="G35" s="25"/>
      <c r="H35" s="25"/>
      <c r="I35" s="25"/>
      <c r="J35" s="25"/>
      <c r="K35" s="25"/>
      <c r="M35" s="24"/>
      <c r="N35">
        <v>33</v>
      </c>
      <c r="P35">
        <f>92236*0.3+92236</f>
        <v>119906.8</v>
      </c>
      <c r="Q35" s="157"/>
      <c r="R35" s="158"/>
      <c r="S35" s="159"/>
      <c r="T35" s="160"/>
      <c r="U35" s="150"/>
      <c r="Y35">
        <f>Y34*Z5+Y34</f>
        <v>34059.94336744929</v>
      </c>
    </row>
    <row r="36" spans="3:25" ht="14.4" customHeight="1" x14ac:dyDescent="0.3">
      <c r="C36" s="25"/>
      <c r="D36" s="25"/>
      <c r="E36" s="25"/>
      <c r="F36" s="25"/>
      <c r="G36" s="25"/>
      <c r="H36" s="25"/>
      <c r="I36" s="25"/>
      <c r="J36" s="25"/>
      <c r="K36" s="25"/>
      <c r="M36" s="24"/>
      <c r="N36">
        <v>34</v>
      </c>
      <c r="P36">
        <f>119907*0.3+119907</f>
        <v>155879.1</v>
      </c>
      <c r="Q36" s="157"/>
      <c r="R36" s="158"/>
      <c r="S36" s="159"/>
      <c r="T36" s="160"/>
      <c r="U36" s="150"/>
      <c r="Y36">
        <f>Y35*Z5+Y35</f>
        <v>44277.926377684074</v>
      </c>
    </row>
    <row r="37" spans="3:25" ht="14.4" customHeight="1" x14ac:dyDescent="0.3">
      <c r="C37" s="25"/>
      <c r="D37" s="25"/>
      <c r="E37" s="25"/>
      <c r="F37" s="25"/>
      <c r="G37" s="25"/>
      <c r="H37" s="25"/>
      <c r="I37" s="25"/>
      <c r="J37" s="25"/>
      <c r="K37" s="25"/>
      <c r="M37" s="24"/>
      <c r="N37">
        <v>35</v>
      </c>
      <c r="P37">
        <f>155879*0.3+155879</f>
        <v>202642.7</v>
      </c>
      <c r="Q37" s="157"/>
      <c r="R37" s="158"/>
      <c r="S37" s="159"/>
      <c r="T37" s="160"/>
      <c r="U37" s="150"/>
      <c r="Y37">
        <f>Y36*Z5+Y36</f>
        <v>57561.304290989297</v>
      </c>
    </row>
    <row r="38" spans="3:25" ht="14.4" customHeight="1" x14ac:dyDescent="0.3">
      <c r="C38" s="25"/>
      <c r="D38" s="25"/>
      <c r="E38" s="25"/>
      <c r="F38" s="25"/>
      <c r="G38" s="25"/>
      <c r="H38" s="25"/>
      <c r="I38" s="25"/>
      <c r="J38" s="25"/>
      <c r="K38" s="25"/>
      <c r="M38" s="24"/>
      <c r="N38">
        <v>36</v>
      </c>
      <c r="P38">
        <f>202643*0.3+202643</f>
        <v>263435.90000000002</v>
      </c>
      <c r="Q38" s="157"/>
      <c r="R38" s="158"/>
      <c r="S38" s="159"/>
      <c r="T38" s="160"/>
      <c r="U38" s="150"/>
      <c r="Y38">
        <f>Y37*Z5+Y37</f>
        <v>74829.69557828609</v>
      </c>
    </row>
    <row r="39" spans="3:25" ht="14.4" customHeight="1" x14ac:dyDescent="0.3">
      <c r="C39" s="25"/>
      <c r="D39" s="25"/>
      <c r="E39" s="25"/>
      <c r="F39" s="25"/>
      <c r="G39" s="25"/>
      <c r="H39" s="25"/>
      <c r="I39" s="25"/>
      <c r="J39" s="25"/>
      <c r="K39" s="25"/>
      <c r="M39" s="24"/>
      <c r="N39">
        <v>37</v>
      </c>
      <c r="P39">
        <f>263436*0.3+263436</f>
        <v>342466.8</v>
      </c>
      <c r="Q39" s="157"/>
      <c r="R39" s="158"/>
      <c r="S39" s="159"/>
      <c r="T39" s="160"/>
      <c r="U39" s="150"/>
      <c r="Y39">
        <f>Y38*Z5+Y38</f>
        <v>97278.604251771918</v>
      </c>
    </row>
    <row r="40" spans="3:25" ht="14.4" customHeight="1" x14ac:dyDescent="0.3">
      <c r="C40" s="25"/>
      <c r="D40" s="25"/>
      <c r="E40" s="25"/>
      <c r="F40" s="25"/>
      <c r="G40" s="25"/>
      <c r="H40" s="25"/>
      <c r="I40" s="25"/>
      <c r="J40" s="25"/>
      <c r="K40" s="25"/>
      <c r="M40" s="24"/>
      <c r="N40">
        <v>38</v>
      </c>
      <c r="P40">
        <f>342466*0.3+342466</f>
        <v>445205.8</v>
      </c>
      <c r="Q40" s="157"/>
      <c r="R40" s="158"/>
      <c r="S40" s="159"/>
      <c r="T40" s="160"/>
      <c r="U40" s="150"/>
      <c r="Y40">
        <f>Y39*Z5+Y39</f>
        <v>126462.18552730349</v>
      </c>
    </row>
    <row r="41" spans="3:25" ht="14.4" customHeight="1" x14ac:dyDescent="0.3">
      <c r="C41" s="25"/>
      <c r="D41" s="25"/>
      <c r="E41" s="25"/>
      <c r="F41" s="25"/>
      <c r="G41" s="25"/>
      <c r="H41" s="25"/>
      <c r="I41" s="25"/>
      <c r="J41" s="25"/>
      <c r="K41" s="25"/>
      <c r="M41" s="24"/>
      <c r="N41">
        <v>39</v>
      </c>
      <c r="P41">
        <f>445206*0.3+445206</f>
        <v>578767.80000000005</v>
      </c>
      <c r="Q41" s="157"/>
      <c r="R41" s="158"/>
      <c r="S41" s="159"/>
      <c r="T41" s="160"/>
      <c r="Y41">
        <f>Y40*Z5+Y40</f>
        <v>164400.84118549453</v>
      </c>
    </row>
    <row r="42" spans="3:25" ht="14.4" customHeight="1" x14ac:dyDescent="0.3">
      <c r="C42" s="25"/>
      <c r="D42" s="25"/>
      <c r="E42" s="25"/>
      <c r="F42" s="25"/>
      <c r="G42" s="25"/>
      <c r="H42" s="25"/>
      <c r="I42" s="25"/>
      <c r="J42" s="25"/>
      <c r="K42" s="25"/>
      <c r="M42" s="24"/>
      <c r="N42">
        <v>41</v>
      </c>
      <c r="P42">
        <f>578768*0.3+578768</f>
        <v>752398.4</v>
      </c>
      <c r="Q42" s="157"/>
      <c r="R42" s="158"/>
      <c r="S42" s="159"/>
      <c r="Y42">
        <f>Y41*Z5+Y41</f>
        <v>213721.09354114288</v>
      </c>
    </row>
    <row r="43" spans="3:25" x14ac:dyDescent="0.3">
      <c r="C43" s="25"/>
      <c r="D43" s="25"/>
      <c r="E43" s="25"/>
      <c r="F43" s="25"/>
      <c r="G43" s="25"/>
      <c r="H43" s="25"/>
      <c r="I43" s="25"/>
      <c r="J43" s="25"/>
      <c r="K43" s="25"/>
      <c r="M43" s="24"/>
      <c r="N43">
        <v>43</v>
      </c>
      <c r="P43">
        <f>752398*0.3+752398</f>
        <v>978117.4</v>
      </c>
      <c r="Q43" s="157"/>
      <c r="R43" s="158"/>
      <c r="Y43">
        <f>Y42*Z5+Y42</f>
        <v>277837.42160348571</v>
      </c>
    </row>
    <row r="44" spans="3:25" x14ac:dyDescent="0.3">
      <c r="C44" s="25"/>
      <c r="D44" s="25"/>
      <c r="E44" s="25"/>
      <c r="F44" s="25"/>
      <c r="G44" s="25"/>
      <c r="H44" s="25"/>
      <c r="I44" s="25"/>
      <c r="J44" s="25"/>
      <c r="K44" s="25"/>
      <c r="M44" s="24"/>
      <c r="N44">
        <v>44</v>
      </c>
      <c r="P44">
        <f>978117*0.3+978117</f>
        <v>1271552.1000000001</v>
      </c>
      <c r="Q44" s="157"/>
      <c r="Y44">
        <f>Y43*Z5+Y43</f>
        <v>361188.64808453142</v>
      </c>
    </row>
    <row r="45" spans="3:25" x14ac:dyDescent="0.3">
      <c r="C45" s="25"/>
      <c r="D45" s="25"/>
      <c r="E45" s="25"/>
      <c r="F45" s="25"/>
      <c r="G45" s="25"/>
      <c r="H45" s="25"/>
      <c r="I45" s="25"/>
      <c r="J45" s="25"/>
      <c r="K45" s="25"/>
      <c r="M45" s="24"/>
      <c r="N45">
        <v>45</v>
      </c>
      <c r="Y45">
        <f>Y44*Z5+Y44</f>
        <v>469545.24250989081</v>
      </c>
    </row>
    <row r="46" spans="3:25" x14ac:dyDescent="0.3">
      <c r="C46" s="25"/>
      <c r="D46" s="25"/>
      <c r="E46" s="25"/>
      <c r="F46" s="25"/>
      <c r="G46" s="25"/>
      <c r="H46" s="25"/>
      <c r="I46" s="25"/>
      <c r="J46" s="25"/>
      <c r="K46" s="25"/>
      <c r="M46" s="24"/>
      <c r="N46">
        <v>46</v>
      </c>
      <c r="Y46">
        <f>Y45*Z5+Y45</f>
        <v>610408.81526285806</v>
      </c>
    </row>
    <row r="47" spans="3:25" x14ac:dyDescent="0.3">
      <c r="C47" s="25"/>
      <c r="D47" s="25"/>
      <c r="E47" s="25"/>
      <c r="F47" s="25"/>
      <c r="G47" s="25"/>
      <c r="H47" s="25"/>
      <c r="I47" s="25"/>
      <c r="J47" s="25"/>
      <c r="K47" s="25"/>
      <c r="M47" s="24"/>
      <c r="N47">
        <v>47</v>
      </c>
      <c r="Y47">
        <f>Y46*Z5+Y46</f>
        <v>793531.4598417154</v>
      </c>
    </row>
    <row r="48" spans="3:25" x14ac:dyDescent="0.3">
      <c r="C48" s="25"/>
      <c r="D48" s="25"/>
      <c r="E48" s="25"/>
      <c r="F48" s="25"/>
      <c r="G48" s="25"/>
      <c r="H48" s="25"/>
      <c r="I48" s="25"/>
      <c r="J48" s="25"/>
      <c r="K48" s="25"/>
      <c r="M48" s="24"/>
      <c r="N48">
        <v>48</v>
      </c>
      <c r="Y48">
        <f>Y47*Z5+Y47</f>
        <v>1031590.89779423</v>
      </c>
    </row>
    <row r="49" spans="1:23" x14ac:dyDescent="0.3">
      <c r="C49" s="25"/>
      <c r="D49" s="25"/>
      <c r="E49" s="25"/>
      <c r="F49" s="25"/>
      <c r="G49" s="25"/>
      <c r="H49" s="25"/>
      <c r="I49" s="25"/>
      <c r="J49" s="25"/>
      <c r="K49" s="25"/>
      <c r="M49" s="24"/>
    </row>
    <row r="50" spans="1:23" x14ac:dyDescent="0.3">
      <c r="C50" s="25"/>
      <c r="D50" s="25"/>
      <c r="E50" s="25"/>
      <c r="F50" s="25"/>
      <c r="G50" s="25"/>
      <c r="H50" s="25"/>
      <c r="I50" s="25"/>
      <c r="J50" s="25"/>
      <c r="K50" s="25"/>
      <c r="M50" s="24"/>
    </row>
    <row r="51" spans="1:23" x14ac:dyDescent="0.3">
      <c r="C51" s="25"/>
      <c r="D51" s="25"/>
      <c r="E51" s="25"/>
      <c r="F51" s="25"/>
      <c r="G51" s="25"/>
      <c r="H51" s="25"/>
      <c r="I51" s="25"/>
      <c r="J51" s="25"/>
      <c r="K51" s="25"/>
      <c r="M51" s="24"/>
    </row>
    <row r="52" spans="1:23" s="23" customFormat="1" x14ac:dyDescent="0.3">
      <c r="N52"/>
    </row>
    <row r="53" spans="1:23" s="23" customFormat="1" x14ac:dyDescent="0.3">
      <c r="N53"/>
    </row>
    <row r="54" spans="1:23" s="23" customFormat="1" x14ac:dyDescent="0.3">
      <c r="N54"/>
    </row>
    <row r="56" spans="1:23" x14ac:dyDescent="0.3">
      <c r="A56" s="156" t="s">
        <v>27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</row>
    <row r="57" spans="1:23" x14ac:dyDescent="0.3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4" t="s">
        <v>28</v>
      </c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x14ac:dyDescent="0.3">
      <c r="A58" s="152" t="s">
        <v>29</v>
      </c>
      <c r="B58" s="152"/>
      <c r="C58" s="152"/>
      <c r="D58" s="152"/>
      <c r="E58" s="152"/>
      <c r="F58" s="152"/>
      <c r="G58" s="152"/>
      <c r="H58" s="152"/>
      <c r="I58" s="152"/>
      <c r="J58" s="152"/>
      <c r="K58" s="152"/>
    </row>
    <row r="59" spans="1:23" x14ac:dyDescent="0.3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</row>
    <row r="60" spans="1:23" x14ac:dyDescent="0.3">
      <c r="A60" s="153" t="s">
        <v>30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</row>
    <row r="61" spans="1:23" x14ac:dyDescent="0.3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</row>
  </sheetData>
  <mergeCells count="19">
    <mergeCell ref="R11:R43"/>
    <mergeCell ref="S12:S42"/>
    <mergeCell ref="T13:T41"/>
    <mergeCell ref="U14:U40"/>
    <mergeCell ref="O5:U6"/>
    <mergeCell ref="O7:U8"/>
    <mergeCell ref="A58:K59"/>
    <mergeCell ref="A60:K61"/>
    <mergeCell ref="L57:W57"/>
    <mergeCell ref="C21:K21"/>
    <mergeCell ref="J14:K14"/>
    <mergeCell ref="I15:K15"/>
    <mergeCell ref="A56:K57"/>
    <mergeCell ref="H16:K16"/>
    <mergeCell ref="G17:K17"/>
    <mergeCell ref="F18:K18"/>
    <mergeCell ref="E19:K19"/>
    <mergeCell ref="D20:K20"/>
    <mergeCell ref="Q10:Q44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84F2-691F-4FB3-A0A6-EEC67D69229A}">
  <sheetPr codeName="Sheet5"/>
  <dimension ref="A1:AH24"/>
  <sheetViews>
    <sheetView topLeftCell="A13" workbookViewId="0">
      <selection activeCell="G30" sqref="G30"/>
    </sheetView>
  </sheetViews>
  <sheetFormatPr defaultRowHeight="14.4" x14ac:dyDescent="0.3"/>
  <cols>
    <col min="1" max="1" width="10.109375" bestFit="1" customWidth="1"/>
    <col min="2" max="2" width="12.77734375" bestFit="1" customWidth="1"/>
    <col min="4" max="4" width="14.44140625" bestFit="1" customWidth="1"/>
    <col min="5" max="5" width="12.21875" bestFit="1" customWidth="1"/>
    <col min="6" max="6" width="10.44140625" bestFit="1" customWidth="1"/>
    <col min="7" max="7" width="13.33203125" bestFit="1" customWidth="1"/>
    <col min="8" max="8" width="13.6640625" bestFit="1" customWidth="1"/>
    <col min="9" max="9" width="10" bestFit="1" customWidth="1"/>
    <col min="10" max="10" width="12.77734375" bestFit="1" customWidth="1"/>
    <col min="13" max="13" width="9.21875" bestFit="1" customWidth="1"/>
    <col min="15" max="15" width="10.109375" bestFit="1" customWidth="1"/>
  </cols>
  <sheetData>
    <row r="1" spans="1:34" ht="15" thickBot="1" x14ac:dyDescent="0.35">
      <c r="A1" s="147" t="s">
        <v>83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34" x14ac:dyDescent="0.3">
      <c r="A2" s="147" t="s">
        <v>84</v>
      </c>
      <c r="B2" s="147"/>
      <c r="C2" s="163" t="s">
        <v>85</v>
      </c>
      <c r="D2" s="164"/>
      <c r="E2" s="147" t="s">
        <v>86</v>
      </c>
      <c r="F2" s="147"/>
      <c r="G2" s="163" t="s">
        <v>87</v>
      </c>
      <c r="H2" s="164"/>
      <c r="I2" s="165" t="s">
        <v>88</v>
      </c>
      <c r="J2" s="165"/>
      <c r="K2" s="163" t="s">
        <v>89</v>
      </c>
      <c r="L2" s="164"/>
      <c r="M2" s="147" t="s">
        <v>90</v>
      </c>
      <c r="N2" s="147"/>
      <c r="O2" s="163" t="s">
        <v>91</v>
      </c>
      <c r="P2" s="164"/>
      <c r="AG2" s="147" t="s">
        <v>99</v>
      </c>
      <c r="AH2" s="147"/>
    </row>
    <row r="3" spans="1:34" hidden="1" x14ac:dyDescent="0.3">
      <c r="A3" s="36" t="s">
        <v>100</v>
      </c>
      <c r="B3" s="36" t="s">
        <v>103</v>
      </c>
      <c r="C3" s="38" t="s">
        <v>105</v>
      </c>
      <c r="D3" s="39">
        <v>0.5</v>
      </c>
      <c r="E3" s="19" t="s">
        <v>109</v>
      </c>
      <c r="F3" s="19" t="s">
        <v>32</v>
      </c>
      <c r="G3" s="44" t="s">
        <v>111</v>
      </c>
      <c r="H3" s="45" t="s">
        <v>112</v>
      </c>
      <c r="I3" s="19" t="s">
        <v>115</v>
      </c>
      <c r="J3" s="19" t="s">
        <v>32</v>
      </c>
      <c r="K3" s="38" t="s">
        <v>118</v>
      </c>
      <c r="L3" s="39" t="s">
        <v>32</v>
      </c>
      <c r="M3" s="19" t="s">
        <v>121</v>
      </c>
      <c r="N3" s="19">
        <v>0.6</v>
      </c>
      <c r="O3" s="38" t="s">
        <v>80</v>
      </c>
      <c r="P3" s="39" t="s">
        <v>124</v>
      </c>
    </row>
    <row r="4" spans="1:34" hidden="1" x14ac:dyDescent="0.3">
      <c r="A4" s="2" t="s">
        <v>101</v>
      </c>
      <c r="B4" s="2" t="s">
        <v>102</v>
      </c>
      <c r="C4" s="40" t="s">
        <v>106</v>
      </c>
      <c r="D4" s="41" t="s">
        <v>79</v>
      </c>
      <c r="E4" s="2" t="s">
        <v>110</v>
      </c>
      <c r="F4" s="2">
        <v>0.5</v>
      </c>
      <c r="G4" s="46" t="s">
        <v>113</v>
      </c>
      <c r="H4" s="47" t="s">
        <v>102</v>
      </c>
      <c r="I4" s="2" t="s">
        <v>116</v>
      </c>
      <c r="J4" s="2" t="s">
        <v>32</v>
      </c>
      <c r="K4" s="50" t="s">
        <v>119</v>
      </c>
      <c r="L4" s="51">
        <v>0.5</v>
      </c>
      <c r="M4" s="19" t="s">
        <v>122</v>
      </c>
      <c r="N4" s="19" t="s">
        <v>123</v>
      </c>
      <c r="O4" s="46" t="s">
        <v>125</v>
      </c>
      <c r="P4" s="47" t="s">
        <v>32</v>
      </c>
    </row>
    <row r="5" spans="1:34" ht="15" hidden="1" thickBot="1" x14ac:dyDescent="0.35">
      <c r="A5" s="37" t="s">
        <v>82</v>
      </c>
      <c r="B5" s="37" t="s">
        <v>104</v>
      </c>
      <c r="C5" s="42" t="s">
        <v>107</v>
      </c>
      <c r="D5" s="43" t="s">
        <v>108</v>
      </c>
      <c r="E5" s="19" t="s">
        <v>126</v>
      </c>
      <c r="F5" s="19">
        <v>0.5</v>
      </c>
      <c r="G5" s="48" t="s">
        <v>114</v>
      </c>
      <c r="H5" s="49" t="s">
        <v>102</v>
      </c>
      <c r="I5" s="19" t="s">
        <v>117</v>
      </c>
      <c r="J5" s="19" t="s">
        <v>102</v>
      </c>
      <c r="K5" s="48" t="s">
        <v>120</v>
      </c>
      <c r="L5" s="49" t="s">
        <v>32</v>
      </c>
      <c r="M5" s="2" t="s">
        <v>33</v>
      </c>
      <c r="N5" s="2" t="s">
        <v>124</v>
      </c>
      <c r="O5" s="42" t="s">
        <v>81</v>
      </c>
      <c r="P5" s="43" t="s">
        <v>32</v>
      </c>
    </row>
    <row r="6" spans="1:34" s="52" customFormat="1" ht="15" hidden="1" thickBot="1" x14ac:dyDescent="0.35"/>
    <row r="7" spans="1:34" hidden="1" x14ac:dyDescent="0.3">
      <c r="A7" s="56" t="s">
        <v>80</v>
      </c>
      <c r="B7" s="57" t="s">
        <v>103</v>
      </c>
      <c r="C7" s="53" t="s">
        <v>128</v>
      </c>
      <c r="D7" s="54">
        <v>0.5</v>
      </c>
      <c r="E7" s="60" t="s">
        <v>78</v>
      </c>
      <c r="F7" s="60" t="s">
        <v>112</v>
      </c>
      <c r="G7" s="55" t="s">
        <v>132</v>
      </c>
      <c r="H7" s="55">
        <v>1.5</v>
      </c>
      <c r="I7" s="55" t="s">
        <v>133</v>
      </c>
      <c r="J7" s="55">
        <v>1.5</v>
      </c>
      <c r="K7" s="55" t="s">
        <v>76</v>
      </c>
      <c r="L7" s="55" t="s">
        <v>32</v>
      </c>
    </row>
    <row r="8" spans="1:34" hidden="1" x14ac:dyDescent="0.3">
      <c r="A8" s="53" t="s">
        <v>125</v>
      </c>
      <c r="B8" s="54" t="s">
        <v>32</v>
      </c>
      <c r="C8" s="53" t="s">
        <v>130</v>
      </c>
      <c r="D8" s="54" t="s">
        <v>32</v>
      </c>
      <c r="E8" s="61" t="s">
        <v>129</v>
      </c>
      <c r="F8" s="62" t="s">
        <v>123</v>
      </c>
      <c r="K8" s="55" t="s">
        <v>64</v>
      </c>
      <c r="L8" s="55" t="s">
        <v>32</v>
      </c>
    </row>
    <row r="9" spans="1:34" ht="15" hidden="1" thickBot="1" x14ac:dyDescent="0.35">
      <c r="A9" s="58" t="s">
        <v>81</v>
      </c>
      <c r="B9" s="59" t="s">
        <v>127</v>
      </c>
      <c r="C9" s="53" t="s">
        <v>131</v>
      </c>
      <c r="D9" s="55">
        <v>0.5</v>
      </c>
      <c r="E9" s="55" t="s">
        <v>117</v>
      </c>
      <c r="F9" s="55" t="s">
        <v>102</v>
      </c>
      <c r="K9" s="60" t="s">
        <v>134</v>
      </c>
      <c r="L9" s="60" t="s">
        <v>32</v>
      </c>
    </row>
    <row r="10" spans="1:34" s="23" customFormat="1" x14ac:dyDescent="0.3"/>
    <row r="11" spans="1:34" x14ac:dyDescent="0.3">
      <c r="A11" s="60" t="s">
        <v>62</v>
      </c>
      <c r="B11" s="60" t="s">
        <v>135</v>
      </c>
      <c r="C11" t="s">
        <v>77</v>
      </c>
      <c r="D11" t="s">
        <v>32</v>
      </c>
      <c r="E11" s="2" t="s">
        <v>136</v>
      </c>
      <c r="F11" s="2" t="s">
        <v>137</v>
      </c>
      <c r="G11" s="55" t="s">
        <v>80</v>
      </c>
      <c r="H11" s="55" t="s">
        <v>135</v>
      </c>
      <c r="I11" s="2" t="s">
        <v>107</v>
      </c>
      <c r="J11" s="2" t="s">
        <v>135</v>
      </c>
      <c r="M11" s="55" t="s">
        <v>140</v>
      </c>
      <c r="N11" s="55" t="s">
        <v>32</v>
      </c>
    </row>
    <row r="12" spans="1:34" x14ac:dyDescent="0.3">
      <c r="M12" s="55" t="s">
        <v>141</v>
      </c>
      <c r="N12" s="55" t="s">
        <v>142</v>
      </c>
      <c r="O12" s="64" t="s">
        <v>145</v>
      </c>
      <c r="P12" s="64" t="s">
        <v>142</v>
      </c>
    </row>
    <row r="13" spans="1:34" x14ac:dyDescent="0.3">
      <c r="M13" s="55" t="s">
        <v>144</v>
      </c>
      <c r="N13" s="55" t="s">
        <v>123</v>
      </c>
      <c r="O13" s="64" t="s">
        <v>146</v>
      </c>
      <c r="P13" s="64" t="s">
        <v>102</v>
      </c>
    </row>
    <row r="16" spans="1:34" x14ac:dyDescent="0.3">
      <c r="A16" s="147" t="s">
        <v>92</v>
      </c>
      <c r="B16" s="147"/>
      <c r="C16" s="166" t="s">
        <v>93</v>
      </c>
      <c r="D16" s="166"/>
      <c r="E16" s="147" t="s">
        <v>94</v>
      </c>
      <c r="F16" s="147"/>
      <c r="G16" s="166" t="s">
        <v>95</v>
      </c>
      <c r="H16" s="166"/>
      <c r="I16" s="147" t="s">
        <v>96</v>
      </c>
      <c r="J16" s="147"/>
      <c r="K16" s="147" t="s">
        <v>97</v>
      </c>
      <c r="L16" s="147"/>
      <c r="M16" s="147" t="s">
        <v>98</v>
      </c>
      <c r="N16" s="147"/>
    </row>
    <row r="17" spans="1:8" x14ac:dyDescent="0.3">
      <c r="A17" s="55" t="s">
        <v>147</v>
      </c>
      <c r="B17" s="55" t="s">
        <v>102</v>
      </c>
      <c r="C17" s="55" t="s">
        <v>105</v>
      </c>
      <c r="D17" s="55" t="s">
        <v>139</v>
      </c>
      <c r="G17" s="55" t="s">
        <v>154</v>
      </c>
      <c r="H17" s="55" t="s">
        <v>124</v>
      </c>
    </row>
    <row r="18" spans="1:8" x14ac:dyDescent="0.3">
      <c r="A18" s="55" t="s">
        <v>163</v>
      </c>
      <c r="B18" s="55" t="s">
        <v>164</v>
      </c>
      <c r="C18" s="55"/>
      <c r="D18" s="55"/>
      <c r="G18" s="55" t="s">
        <v>155</v>
      </c>
      <c r="H18" s="55" t="s">
        <v>156</v>
      </c>
    </row>
    <row r="19" spans="1:8" x14ac:dyDescent="0.3">
      <c r="A19" s="55" t="s">
        <v>148</v>
      </c>
      <c r="B19" s="55" t="s">
        <v>149</v>
      </c>
      <c r="C19" s="55"/>
      <c r="D19" s="55"/>
    </row>
    <row r="20" spans="1:8" ht="15" thickBot="1" x14ac:dyDescent="0.35"/>
    <row r="21" spans="1:8" s="63" customFormat="1" ht="15.6" thickTop="1" thickBot="1" x14ac:dyDescent="0.35">
      <c r="A21" s="161" t="s">
        <v>160</v>
      </c>
      <c r="B21" s="162"/>
      <c r="C21" s="161" t="s">
        <v>161</v>
      </c>
      <c r="D21" s="162"/>
      <c r="E21" s="161" t="s">
        <v>162</v>
      </c>
      <c r="F21" s="162"/>
      <c r="G21" s="161" t="s">
        <v>165</v>
      </c>
      <c r="H21" s="162"/>
    </row>
    <row r="22" spans="1:8" ht="15" thickTop="1" x14ac:dyDescent="0.3">
      <c r="A22" s="55" t="s">
        <v>157</v>
      </c>
      <c r="B22" s="55" t="s">
        <v>79</v>
      </c>
      <c r="C22" s="55" t="s">
        <v>166</v>
      </c>
      <c r="D22" s="55" t="s">
        <v>167</v>
      </c>
      <c r="E22" s="55" t="s">
        <v>152</v>
      </c>
      <c r="F22" s="55" t="s">
        <v>124</v>
      </c>
    </row>
    <row r="23" spans="1:8" x14ac:dyDescent="0.3">
      <c r="A23" s="55" t="s">
        <v>158</v>
      </c>
      <c r="B23" s="55" t="s">
        <v>159</v>
      </c>
      <c r="C23" s="55" t="s">
        <v>143</v>
      </c>
      <c r="D23" s="55" t="s">
        <v>102</v>
      </c>
      <c r="E23" s="55" t="s">
        <v>81</v>
      </c>
      <c r="F23" s="55" t="s">
        <v>150</v>
      </c>
    </row>
    <row r="24" spans="1:8" x14ac:dyDescent="0.3">
      <c r="A24" s="55" t="s">
        <v>138</v>
      </c>
      <c r="B24" s="55" t="s">
        <v>112</v>
      </c>
      <c r="C24" s="55" t="s">
        <v>153</v>
      </c>
      <c r="D24" s="55" t="s">
        <v>102</v>
      </c>
      <c r="E24" s="55" t="s">
        <v>125</v>
      </c>
      <c r="F24" s="55" t="s">
        <v>151</v>
      </c>
    </row>
  </sheetData>
  <mergeCells count="21">
    <mergeCell ref="AG2:AH2"/>
    <mergeCell ref="C16:D16"/>
    <mergeCell ref="E16:F16"/>
    <mergeCell ref="G16:H16"/>
    <mergeCell ref="I16:J16"/>
    <mergeCell ref="K16:L16"/>
    <mergeCell ref="A21:B21"/>
    <mergeCell ref="C21:D21"/>
    <mergeCell ref="E21:F21"/>
    <mergeCell ref="A1:V1"/>
    <mergeCell ref="A2:B2"/>
    <mergeCell ref="C2:D2"/>
    <mergeCell ref="E2:F2"/>
    <mergeCell ref="G2:H2"/>
    <mergeCell ref="I2:J2"/>
    <mergeCell ref="K2:L2"/>
    <mergeCell ref="M2:N2"/>
    <mergeCell ref="O2:P2"/>
    <mergeCell ref="A16:B16"/>
    <mergeCell ref="M16:N16"/>
    <mergeCell ref="G21:H21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D138-F67E-42D9-9193-519573C67862}">
  <sheetPr codeName="Sheet6"/>
  <dimension ref="B1:X48"/>
  <sheetViews>
    <sheetView topLeftCell="C10" workbookViewId="0">
      <selection activeCell="D38" sqref="D38"/>
    </sheetView>
  </sheetViews>
  <sheetFormatPr defaultRowHeight="14.4" x14ac:dyDescent="0.3"/>
  <cols>
    <col min="2" max="2" width="22" bestFit="1" customWidth="1"/>
    <col min="3" max="3" width="15.88671875" bestFit="1" customWidth="1"/>
    <col min="5" max="5" width="11.77734375" bestFit="1" customWidth="1"/>
    <col min="6" max="6" width="12.21875" bestFit="1" customWidth="1"/>
    <col min="8" max="8" width="11.44140625" bestFit="1" customWidth="1"/>
    <col min="15" max="15" width="10.33203125" customWidth="1"/>
    <col min="22" max="22" width="10.44140625" customWidth="1"/>
  </cols>
  <sheetData>
    <row r="1" spans="2:22" x14ac:dyDescent="0.3">
      <c r="B1" s="147" t="s">
        <v>37</v>
      </c>
      <c r="C1" s="147"/>
      <c r="D1" s="147"/>
      <c r="E1" s="147"/>
      <c r="F1" s="147"/>
      <c r="G1" s="147"/>
      <c r="H1" s="147"/>
    </row>
    <row r="2" spans="2:22" x14ac:dyDescent="0.3">
      <c r="B2" s="171" t="s">
        <v>38</v>
      </c>
      <c r="C2" s="171"/>
      <c r="D2" s="171"/>
    </row>
    <row r="3" spans="2:22" ht="15.6" x14ac:dyDescent="0.35">
      <c r="B3" s="33" t="s">
        <v>42</v>
      </c>
      <c r="C3" s="167">
        <v>2</v>
      </c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</row>
    <row r="4" spans="2:22" ht="34.799999999999997" customHeight="1" thickBot="1" x14ac:dyDescent="0.35">
      <c r="B4" s="168" t="s">
        <v>39</v>
      </c>
      <c r="C4" s="168"/>
      <c r="D4" s="168"/>
      <c r="E4" s="168"/>
      <c r="F4" s="168"/>
      <c r="G4" s="168"/>
      <c r="H4" s="169"/>
      <c r="I4" s="168" t="s">
        <v>40</v>
      </c>
      <c r="J4" s="168"/>
      <c r="K4" s="168"/>
      <c r="L4" s="168"/>
      <c r="M4" s="168"/>
      <c r="N4" s="168"/>
      <c r="O4" s="169"/>
      <c r="P4" s="168" t="s">
        <v>41</v>
      </c>
      <c r="Q4" s="168"/>
      <c r="R4" s="168"/>
      <c r="S4" s="168"/>
      <c r="T4" s="168"/>
      <c r="U4" s="168"/>
      <c r="V4" s="169"/>
    </row>
    <row r="5" spans="2:22" s="23" customFormat="1" ht="11.4" customHeight="1" thickTop="1" x14ac:dyDescent="0.3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2:22" ht="15.6" x14ac:dyDescent="0.35">
      <c r="B6" s="33" t="s">
        <v>42</v>
      </c>
      <c r="C6" s="167">
        <v>4</v>
      </c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</row>
    <row r="7" spans="2:22" ht="34.799999999999997" customHeight="1" thickBot="1" x14ac:dyDescent="0.35">
      <c r="B7" s="168" t="s">
        <v>43</v>
      </c>
      <c r="C7" s="168"/>
      <c r="D7" s="168"/>
      <c r="E7" s="168"/>
      <c r="F7" s="168"/>
      <c r="G7" s="168"/>
      <c r="H7" s="169"/>
      <c r="I7" s="168" t="s">
        <v>44</v>
      </c>
      <c r="J7" s="168"/>
      <c r="K7" s="168"/>
      <c r="L7" s="168"/>
      <c r="M7" s="168"/>
      <c r="N7" s="168"/>
      <c r="O7" s="169"/>
      <c r="P7" s="172" t="s">
        <v>45</v>
      </c>
      <c r="Q7" s="172"/>
      <c r="R7" s="172"/>
      <c r="S7" s="172"/>
      <c r="T7" s="172"/>
      <c r="U7" s="172"/>
      <c r="V7" s="173"/>
    </row>
    <row r="8" spans="2:22" s="23" customFormat="1" ht="11.4" customHeight="1" thickTop="1" x14ac:dyDescent="0.3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</row>
    <row r="9" spans="2:22" ht="15.6" x14ac:dyDescent="0.35">
      <c r="B9" s="33" t="s">
        <v>42</v>
      </c>
      <c r="C9" s="167">
        <v>8</v>
      </c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</row>
    <row r="10" spans="2:22" ht="43.2" customHeight="1" thickBot="1" x14ac:dyDescent="0.35">
      <c r="B10" s="168" t="s">
        <v>46</v>
      </c>
      <c r="C10" s="168"/>
      <c r="D10" s="168"/>
      <c r="E10" s="168"/>
      <c r="F10" s="168"/>
      <c r="G10" s="168"/>
      <c r="H10" s="169"/>
      <c r="I10" s="168" t="s">
        <v>47</v>
      </c>
      <c r="J10" s="168"/>
      <c r="K10" s="168"/>
      <c r="L10" s="168"/>
      <c r="M10" s="168"/>
      <c r="N10" s="168"/>
      <c r="O10" s="169"/>
      <c r="P10" s="168" t="s">
        <v>51</v>
      </c>
      <c r="Q10" s="168"/>
      <c r="R10" s="168"/>
      <c r="S10" s="168"/>
      <c r="T10" s="168"/>
      <c r="U10" s="168"/>
      <c r="V10" s="169"/>
    </row>
    <row r="11" spans="2:22" s="23" customFormat="1" ht="11.4" customHeight="1" thickTop="1" x14ac:dyDescent="0.3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2:22" ht="15.6" x14ac:dyDescent="0.35">
      <c r="B12" s="33" t="s">
        <v>42</v>
      </c>
      <c r="C12" s="167">
        <v>16</v>
      </c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</row>
    <row r="13" spans="2:22" ht="34.799999999999997" customHeight="1" thickBot="1" x14ac:dyDescent="0.35">
      <c r="B13" s="168" t="s">
        <v>48</v>
      </c>
      <c r="C13" s="168"/>
      <c r="D13" s="168"/>
      <c r="E13" s="168"/>
      <c r="F13" s="168"/>
      <c r="G13" s="168"/>
      <c r="H13" s="169"/>
      <c r="I13" s="168" t="s">
        <v>49</v>
      </c>
      <c r="J13" s="168"/>
      <c r="K13" s="168"/>
      <c r="L13" s="168"/>
      <c r="M13" s="168"/>
      <c r="N13" s="168"/>
      <c r="O13" s="169"/>
      <c r="P13" s="168" t="s">
        <v>50</v>
      </c>
      <c r="Q13" s="168"/>
      <c r="R13" s="168"/>
      <c r="S13" s="168"/>
      <c r="T13" s="168"/>
      <c r="U13" s="168"/>
      <c r="V13" s="169"/>
    </row>
    <row r="14" spans="2:22" ht="15" thickTop="1" x14ac:dyDescent="0.3"/>
    <row r="17" spans="2:24" x14ac:dyDescent="0.3">
      <c r="B17" t="s">
        <v>63</v>
      </c>
      <c r="C17" t="s">
        <v>62</v>
      </c>
      <c r="D17" t="s">
        <v>61</v>
      </c>
      <c r="E17" t="s">
        <v>60</v>
      </c>
      <c r="F17" s="147" t="s">
        <v>58</v>
      </c>
      <c r="G17" s="147"/>
      <c r="H17" t="s">
        <v>52</v>
      </c>
      <c r="I17" t="s">
        <v>53</v>
      </c>
      <c r="J17" s="147" t="s">
        <v>56</v>
      </c>
      <c r="K17" s="147"/>
      <c r="L17" t="s">
        <v>59</v>
      </c>
      <c r="M17" t="s">
        <v>54</v>
      </c>
      <c r="N17" s="170" t="s">
        <v>55</v>
      </c>
      <c r="O17" s="170"/>
      <c r="P17" t="s">
        <v>57</v>
      </c>
      <c r="S17" t="s">
        <v>64</v>
      </c>
      <c r="T17" t="s">
        <v>65</v>
      </c>
      <c r="U17" t="s">
        <v>66</v>
      </c>
      <c r="V17" t="s">
        <v>67</v>
      </c>
      <c r="W17" t="s">
        <v>68</v>
      </c>
      <c r="X17" t="s">
        <v>69</v>
      </c>
    </row>
    <row r="19" spans="2:24" ht="15.6" x14ac:dyDescent="0.35">
      <c r="B19" s="33" t="s">
        <v>42</v>
      </c>
      <c r="C19" s="167">
        <v>2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</row>
    <row r="20" spans="2:24" ht="34.799999999999997" customHeight="1" thickBot="1" x14ac:dyDescent="0.35">
      <c r="B20" s="168" t="s">
        <v>72</v>
      </c>
      <c r="C20" s="168"/>
      <c r="D20" s="168"/>
      <c r="E20" s="168"/>
      <c r="F20" s="168"/>
      <c r="G20" s="168"/>
      <c r="H20" s="169"/>
      <c r="I20" s="168" t="s">
        <v>71</v>
      </c>
      <c r="J20" s="168"/>
      <c r="K20" s="168"/>
      <c r="L20" s="168"/>
      <c r="M20" s="168"/>
      <c r="N20" s="168"/>
      <c r="O20" s="169"/>
      <c r="P20" s="168" t="s">
        <v>70</v>
      </c>
      <c r="Q20" s="168"/>
      <c r="R20" s="168"/>
      <c r="S20" s="168"/>
      <c r="T20" s="168"/>
      <c r="U20" s="168"/>
      <c r="V20" s="169"/>
    </row>
    <row r="21" spans="2:24" s="23" customFormat="1" ht="11.4" customHeight="1" thickTop="1" x14ac:dyDescent="0.3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2:24" ht="15.6" x14ac:dyDescent="0.35">
      <c r="B22" s="33" t="s">
        <v>42</v>
      </c>
      <c r="C22" s="167">
        <v>4</v>
      </c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</row>
    <row r="23" spans="2:24" ht="34.799999999999997" customHeight="1" thickBot="1" x14ac:dyDescent="0.35">
      <c r="B23" s="168" t="s">
        <v>75</v>
      </c>
      <c r="C23" s="168"/>
      <c r="D23" s="168"/>
      <c r="E23" s="168"/>
      <c r="F23" s="168"/>
      <c r="G23" s="168"/>
      <c r="H23" s="169"/>
      <c r="I23" s="168" t="s">
        <v>74</v>
      </c>
      <c r="J23" s="168"/>
      <c r="K23" s="168"/>
      <c r="L23" s="168"/>
      <c r="M23" s="168"/>
      <c r="N23" s="168"/>
      <c r="O23" s="169"/>
      <c r="P23" s="168" t="s">
        <v>73</v>
      </c>
      <c r="Q23" s="168"/>
      <c r="R23" s="168"/>
      <c r="S23" s="168"/>
      <c r="T23" s="168"/>
      <c r="U23" s="168"/>
      <c r="V23" s="169"/>
    </row>
    <row r="24" spans="2:24" s="23" customFormat="1" ht="11.4" customHeight="1" thickTop="1" x14ac:dyDescent="0.3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2:24" ht="15.6" x14ac:dyDescent="0.35">
      <c r="B25" s="33" t="s">
        <v>42</v>
      </c>
      <c r="C25" s="167">
        <v>8</v>
      </c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</row>
    <row r="26" spans="2:24" ht="43.2" customHeight="1" thickBot="1" x14ac:dyDescent="0.35">
      <c r="B26" s="168" t="s">
        <v>46</v>
      </c>
      <c r="C26" s="168"/>
      <c r="D26" s="168"/>
      <c r="E26" s="168"/>
      <c r="F26" s="168"/>
      <c r="G26" s="168"/>
      <c r="H26" s="169"/>
      <c r="I26" s="168" t="s">
        <v>47</v>
      </c>
      <c r="J26" s="168"/>
      <c r="K26" s="168"/>
      <c r="L26" s="168"/>
      <c r="M26" s="168"/>
      <c r="N26" s="168"/>
      <c r="O26" s="169"/>
      <c r="P26" s="168" t="s">
        <v>51</v>
      </c>
      <c r="Q26" s="168"/>
      <c r="R26" s="168"/>
      <c r="S26" s="168"/>
      <c r="T26" s="168"/>
      <c r="U26" s="168"/>
      <c r="V26" s="169"/>
    </row>
    <row r="27" spans="2:24" s="23" customFormat="1" ht="11.4" customHeight="1" thickTop="1" x14ac:dyDescent="0.3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2:24" ht="15.6" x14ac:dyDescent="0.35">
      <c r="B28" s="33" t="s">
        <v>42</v>
      </c>
      <c r="C28" s="167">
        <v>16</v>
      </c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</row>
    <row r="29" spans="2:24" ht="34.799999999999997" customHeight="1" thickBot="1" x14ac:dyDescent="0.35">
      <c r="B29" s="168" t="s">
        <v>48</v>
      </c>
      <c r="C29" s="168"/>
      <c r="D29" s="168"/>
      <c r="E29" s="168"/>
      <c r="F29" s="168"/>
      <c r="G29" s="168"/>
      <c r="H29" s="169"/>
      <c r="I29" s="168" t="s">
        <v>49</v>
      </c>
      <c r="J29" s="168"/>
      <c r="K29" s="168"/>
      <c r="L29" s="168"/>
      <c r="M29" s="168"/>
      <c r="N29" s="168"/>
      <c r="O29" s="169"/>
      <c r="P29" s="168" t="s">
        <v>50</v>
      </c>
      <c r="Q29" s="168"/>
      <c r="R29" s="168"/>
      <c r="S29" s="168"/>
      <c r="T29" s="168"/>
      <c r="U29" s="168"/>
      <c r="V29" s="169"/>
    </row>
    <row r="30" spans="2:24" ht="15" thickTop="1" x14ac:dyDescent="0.3"/>
    <row r="31" spans="2:24" x14ac:dyDescent="0.3">
      <c r="B31">
        <f>1000*0.5+1000</f>
        <v>1500</v>
      </c>
    </row>
    <row r="32" spans="2:24" x14ac:dyDescent="0.3">
      <c r="B32">
        <f>1500*0.5+1500</f>
        <v>2250</v>
      </c>
    </row>
    <row r="33" spans="2:2" x14ac:dyDescent="0.3">
      <c r="B33">
        <f>2250*0.5+2250</f>
        <v>3375</v>
      </c>
    </row>
    <row r="34" spans="2:2" x14ac:dyDescent="0.3">
      <c r="B34">
        <f>3375*0.5+3375</f>
        <v>5062.5</v>
      </c>
    </row>
    <row r="35" spans="2:2" x14ac:dyDescent="0.3">
      <c r="B35">
        <f>5062*0.5+5062</f>
        <v>7593</v>
      </c>
    </row>
    <row r="36" spans="2:2" x14ac:dyDescent="0.3">
      <c r="B36">
        <f>7593*0.5+7593</f>
        <v>11389.5</v>
      </c>
    </row>
    <row r="37" spans="2:2" x14ac:dyDescent="0.3">
      <c r="B37">
        <f>11389*0.5+11389</f>
        <v>17083.5</v>
      </c>
    </row>
    <row r="38" spans="2:2" x14ac:dyDescent="0.3">
      <c r="B38">
        <f>17083*0.5+17083</f>
        <v>25624.5</v>
      </c>
    </row>
    <row r="39" spans="2:2" x14ac:dyDescent="0.3">
      <c r="B39">
        <f>25624*0.5+25624</f>
        <v>38436</v>
      </c>
    </row>
    <row r="40" spans="2:2" x14ac:dyDescent="0.3">
      <c r="B40">
        <f>38436*0.5+38436</f>
        <v>57654</v>
      </c>
    </row>
    <row r="41" spans="2:2" x14ac:dyDescent="0.3">
      <c r="B41">
        <f>57654*0.5+57654</f>
        <v>86481</v>
      </c>
    </row>
    <row r="42" spans="2:2" x14ac:dyDescent="0.3">
      <c r="B42">
        <f>86481*0.5+86481</f>
        <v>129721.5</v>
      </c>
    </row>
    <row r="43" spans="2:2" x14ac:dyDescent="0.3">
      <c r="B43">
        <f>129721*0.5+129721</f>
        <v>194581.5</v>
      </c>
    </row>
    <row r="44" spans="2:2" x14ac:dyDescent="0.3">
      <c r="B44">
        <f>194581*0.5+194581</f>
        <v>291871.5</v>
      </c>
    </row>
    <row r="45" spans="2:2" x14ac:dyDescent="0.3">
      <c r="B45">
        <f>291871*0.5+291871</f>
        <v>437806.5</v>
      </c>
    </row>
    <row r="46" spans="2:2" x14ac:dyDescent="0.3">
      <c r="B46">
        <f>437806*0.5+437806</f>
        <v>656709</v>
      </c>
    </row>
    <row r="47" spans="2:2" x14ac:dyDescent="0.3">
      <c r="B47">
        <f>656709*0.5+656709</f>
        <v>985063.5</v>
      </c>
    </row>
    <row r="48" spans="2:2" x14ac:dyDescent="0.3">
      <c r="B48">
        <f>1500*0.5+1500</f>
        <v>2250</v>
      </c>
    </row>
  </sheetData>
  <mergeCells count="37">
    <mergeCell ref="B1:H1"/>
    <mergeCell ref="B2:D2"/>
    <mergeCell ref="C3:U3"/>
    <mergeCell ref="C6:U6"/>
    <mergeCell ref="C9:U9"/>
    <mergeCell ref="I4:O4"/>
    <mergeCell ref="P4:V4"/>
    <mergeCell ref="B4:H4"/>
    <mergeCell ref="B7:H7"/>
    <mergeCell ref="I7:O7"/>
    <mergeCell ref="P7:V7"/>
    <mergeCell ref="P10:V10"/>
    <mergeCell ref="C12:U12"/>
    <mergeCell ref="B13:H13"/>
    <mergeCell ref="I13:O13"/>
    <mergeCell ref="P13:V13"/>
    <mergeCell ref="B10:H10"/>
    <mergeCell ref="I10:O10"/>
    <mergeCell ref="F17:G17"/>
    <mergeCell ref="C19:U19"/>
    <mergeCell ref="B20:H20"/>
    <mergeCell ref="I20:O20"/>
    <mergeCell ref="P20:V20"/>
    <mergeCell ref="N17:O17"/>
    <mergeCell ref="J17:K17"/>
    <mergeCell ref="C22:U22"/>
    <mergeCell ref="B23:H23"/>
    <mergeCell ref="I23:O23"/>
    <mergeCell ref="P23:V23"/>
    <mergeCell ref="B29:H29"/>
    <mergeCell ref="I29:O29"/>
    <mergeCell ref="P29:V29"/>
    <mergeCell ref="C25:U25"/>
    <mergeCell ref="B26:H26"/>
    <mergeCell ref="I26:O26"/>
    <mergeCell ref="P26:V26"/>
    <mergeCell ref="C28:U28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7B78-FA58-4EE8-B5CC-EB4B930525E1}">
  <dimension ref="A1:AB12"/>
  <sheetViews>
    <sheetView topLeftCell="D1" workbookViewId="0">
      <selection activeCell="O2" sqref="O2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22.6640625" bestFit="1" customWidth="1"/>
    <col min="4" max="4" width="15.88671875" bestFit="1" customWidth="1"/>
    <col min="5" max="5" width="16.44140625" bestFit="1" customWidth="1"/>
    <col min="6" max="6" width="16.44140625" customWidth="1"/>
    <col min="7" max="7" width="16.33203125" customWidth="1"/>
    <col min="8" max="8" width="15.109375" customWidth="1"/>
    <col min="9" max="9" width="15.5546875" customWidth="1"/>
    <col min="10" max="10" width="12" bestFit="1" customWidth="1"/>
    <col min="11" max="11" width="12.77734375" customWidth="1"/>
    <col min="12" max="12" width="12.5546875" bestFit="1" customWidth="1"/>
    <col min="13" max="13" width="10.5546875" bestFit="1" customWidth="1"/>
    <col min="14" max="14" width="9.88671875" bestFit="1" customWidth="1"/>
    <col min="15" max="15" width="16.21875" bestFit="1" customWidth="1"/>
    <col min="22" max="22" width="17.88671875" bestFit="1" customWidth="1"/>
  </cols>
  <sheetData>
    <row r="1" spans="1:28" x14ac:dyDescent="0.3">
      <c r="B1" s="68">
        <v>45497</v>
      </c>
      <c r="C1" s="68">
        <v>45497</v>
      </c>
      <c r="D1" s="68">
        <v>45497</v>
      </c>
      <c r="E1" s="68">
        <v>45497</v>
      </c>
      <c r="F1" s="68">
        <v>45497</v>
      </c>
      <c r="G1" s="68">
        <v>45498</v>
      </c>
      <c r="H1" s="68">
        <v>45498</v>
      </c>
      <c r="I1" s="68">
        <v>45498</v>
      </c>
      <c r="J1" s="68">
        <v>45498</v>
      </c>
      <c r="K1" s="68">
        <v>45498</v>
      </c>
      <c r="L1" s="68">
        <v>45499</v>
      </c>
      <c r="M1" s="68">
        <v>45499</v>
      </c>
      <c r="N1" s="68">
        <v>45499</v>
      </c>
      <c r="O1" s="68">
        <v>45499</v>
      </c>
      <c r="P1" s="68">
        <v>45499</v>
      </c>
      <c r="Q1" s="68">
        <v>45499</v>
      </c>
      <c r="R1" s="68">
        <v>45499</v>
      </c>
      <c r="S1" s="68">
        <v>45499</v>
      </c>
      <c r="T1" s="68">
        <v>45499</v>
      </c>
      <c r="U1" s="68">
        <v>45499</v>
      </c>
      <c r="V1" s="68">
        <v>45499</v>
      </c>
      <c r="W1" s="68">
        <v>45499</v>
      </c>
      <c r="X1" s="68">
        <v>45499</v>
      </c>
      <c r="Y1" s="68">
        <v>45499</v>
      </c>
      <c r="Z1" s="68">
        <v>45499</v>
      </c>
      <c r="AA1" s="68">
        <v>45499</v>
      </c>
      <c r="AB1" s="68">
        <v>45499</v>
      </c>
    </row>
    <row r="2" spans="1:28" x14ac:dyDescent="0.3">
      <c r="A2" t="s">
        <v>202</v>
      </c>
      <c r="B2" t="s">
        <v>203</v>
      </c>
      <c r="C2" t="s">
        <v>204</v>
      </c>
      <c r="D2" t="s">
        <v>205</v>
      </c>
      <c r="E2" t="s">
        <v>206</v>
      </c>
      <c r="F2" t="s">
        <v>226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204</v>
      </c>
      <c r="X2" t="s">
        <v>203</v>
      </c>
      <c r="Y2" t="s">
        <v>223</v>
      </c>
      <c r="Z2" t="s">
        <v>224</v>
      </c>
      <c r="AA2" t="s">
        <v>225</v>
      </c>
      <c r="AB2" t="s">
        <v>211</v>
      </c>
    </row>
    <row r="3" spans="1:28" x14ac:dyDescent="0.3">
      <c r="B3">
        <v>2</v>
      </c>
      <c r="C3">
        <v>1</v>
      </c>
      <c r="D3">
        <v>2</v>
      </c>
      <c r="E3">
        <v>2</v>
      </c>
      <c r="F3">
        <v>2</v>
      </c>
      <c r="G3">
        <v>9</v>
      </c>
      <c r="H3">
        <v>40</v>
      </c>
      <c r="I3">
        <v>4</v>
      </c>
      <c r="J3">
        <v>6</v>
      </c>
      <c r="K3">
        <v>10</v>
      </c>
      <c r="L3">
        <v>1</v>
      </c>
      <c r="M3">
        <v>2</v>
      </c>
      <c r="N3">
        <v>4</v>
      </c>
      <c r="O3">
        <v>1</v>
      </c>
      <c r="P3">
        <v>4</v>
      </c>
      <c r="Q3">
        <v>2</v>
      </c>
      <c r="R3">
        <v>2</v>
      </c>
      <c r="S3">
        <v>4</v>
      </c>
      <c r="T3">
        <v>2</v>
      </c>
      <c r="U3">
        <v>2</v>
      </c>
      <c r="V3">
        <v>2</v>
      </c>
      <c r="W3">
        <v>2</v>
      </c>
      <c r="X3">
        <v>2</v>
      </c>
      <c r="Y3">
        <v>5</v>
      </c>
      <c r="Z3">
        <v>1</v>
      </c>
      <c r="AA3">
        <v>2</v>
      </c>
      <c r="AB3">
        <v>5</v>
      </c>
    </row>
    <row r="6" spans="1:28" x14ac:dyDescent="0.3">
      <c r="A6" s="65" t="s">
        <v>31</v>
      </c>
      <c r="B6" t="s">
        <v>168</v>
      </c>
      <c r="D6" t="s">
        <v>197</v>
      </c>
      <c r="E6" t="s">
        <v>198</v>
      </c>
      <c r="G6" t="s">
        <v>199</v>
      </c>
    </row>
    <row r="7" spans="1:28" x14ac:dyDescent="0.3">
      <c r="A7" s="67"/>
      <c r="B7" s="66"/>
      <c r="C7" s="66"/>
      <c r="D7" s="66"/>
      <c r="E7" s="66"/>
      <c r="F7" s="66"/>
      <c r="G7" s="66" t="s">
        <v>227</v>
      </c>
    </row>
    <row r="8" spans="1:28" x14ac:dyDescent="0.3">
      <c r="A8" t="s">
        <v>200</v>
      </c>
      <c r="B8" t="s">
        <v>201</v>
      </c>
      <c r="C8">
        <v>0.36</v>
      </c>
      <c r="G8" t="s">
        <v>228</v>
      </c>
    </row>
    <row r="9" spans="1:28" x14ac:dyDescent="0.3">
      <c r="A9" t="s">
        <v>234</v>
      </c>
      <c r="B9" t="s">
        <v>176</v>
      </c>
      <c r="C9">
        <v>0.17</v>
      </c>
      <c r="G9" t="s">
        <v>229</v>
      </c>
    </row>
    <row r="10" spans="1:28" x14ac:dyDescent="0.3">
      <c r="G10" t="s">
        <v>230</v>
      </c>
    </row>
    <row r="11" spans="1:28" x14ac:dyDescent="0.3">
      <c r="F11" t="s">
        <v>231</v>
      </c>
      <c r="G11" t="s">
        <v>232</v>
      </c>
    </row>
    <row r="12" spans="1:28" x14ac:dyDescent="0.3">
      <c r="G12" s="74" t="s">
        <v>233</v>
      </c>
    </row>
  </sheetData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0215-1806-4497-8B62-6BA17DEC417B}">
  <dimension ref="A1:K16"/>
  <sheetViews>
    <sheetView workbookViewId="0">
      <selection activeCell="E20" sqref="E20"/>
    </sheetView>
  </sheetViews>
  <sheetFormatPr defaultRowHeight="14.4" x14ac:dyDescent="0.3"/>
  <cols>
    <col min="2" max="2" width="8.88671875" style="25"/>
  </cols>
  <sheetData>
    <row r="1" spans="1:11" x14ac:dyDescent="0.3">
      <c r="A1" s="75">
        <v>0.45833333333333331</v>
      </c>
      <c r="B1" s="76">
        <v>0.1</v>
      </c>
      <c r="C1">
        <v>0.2</v>
      </c>
      <c r="D1">
        <v>0.3</v>
      </c>
      <c r="E1">
        <v>0.4</v>
      </c>
      <c r="F1">
        <v>0.5</v>
      </c>
      <c r="G1">
        <v>0.6</v>
      </c>
      <c r="H1">
        <v>0.7</v>
      </c>
      <c r="I1">
        <v>0.8</v>
      </c>
      <c r="J1">
        <v>0.9</v>
      </c>
      <c r="K1">
        <v>2</v>
      </c>
    </row>
    <row r="2" spans="1:11" x14ac:dyDescent="0.3">
      <c r="A2" s="75">
        <v>0.5</v>
      </c>
      <c r="B2" s="76">
        <v>0.1</v>
      </c>
      <c r="C2">
        <v>0.2</v>
      </c>
      <c r="D2">
        <v>0.3</v>
      </c>
      <c r="E2">
        <v>0.4</v>
      </c>
      <c r="F2">
        <v>0.5</v>
      </c>
      <c r="G2">
        <v>0.6</v>
      </c>
      <c r="H2">
        <v>0.7</v>
      </c>
      <c r="I2">
        <v>0.8</v>
      </c>
      <c r="J2">
        <v>0.9</v>
      </c>
      <c r="K2">
        <v>2</v>
      </c>
    </row>
    <row r="3" spans="1:11" x14ac:dyDescent="0.3">
      <c r="A3" s="75">
        <v>0.54166666666666663</v>
      </c>
      <c r="B3" s="76">
        <v>0.1</v>
      </c>
      <c r="C3">
        <v>0.2</v>
      </c>
      <c r="D3">
        <v>0.3</v>
      </c>
      <c r="E3">
        <v>0.4</v>
      </c>
      <c r="F3">
        <v>0.5</v>
      </c>
      <c r="G3">
        <v>0.6</v>
      </c>
      <c r="H3">
        <v>0.7</v>
      </c>
      <c r="I3">
        <v>0.8</v>
      </c>
      <c r="J3">
        <v>0.9</v>
      </c>
      <c r="K3">
        <v>2</v>
      </c>
    </row>
    <row r="4" spans="1:11" x14ac:dyDescent="0.3">
      <c r="A4" s="75">
        <v>0.58333333333333337</v>
      </c>
      <c r="B4" s="76">
        <v>0.1</v>
      </c>
      <c r="C4">
        <v>0.2</v>
      </c>
      <c r="D4">
        <v>0.3</v>
      </c>
      <c r="E4">
        <v>0.4</v>
      </c>
      <c r="F4">
        <v>0.5</v>
      </c>
      <c r="G4">
        <v>0.6</v>
      </c>
      <c r="H4">
        <v>0.7</v>
      </c>
      <c r="I4">
        <v>0.8</v>
      </c>
      <c r="J4">
        <v>0.9</v>
      </c>
      <c r="K4">
        <v>2</v>
      </c>
    </row>
    <row r="5" spans="1:11" x14ac:dyDescent="0.3">
      <c r="A5" s="75">
        <v>0.625</v>
      </c>
      <c r="B5" s="76">
        <v>0.1</v>
      </c>
      <c r="C5">
        <v>0.2</v>
      </c>
      <c r="D5">
        <v>0.3</v>
      </c>
      <c r="E5">
        <v>0.4</v>
      </c>
      <c r="F5">
        <v>0.5</v>
      </c>
      <c r="G5">
        <v>0.6</v>
      </c>
      <c r="H5">
        <v>0.7</v>
      </c>
      <c r="I5">
        <v>0.8</v>
      </c>
      <c r="J5">
        <v>0.9</v>
      </c>
      <c r="K5">
        <v>2</v>
      </c>
    </row>
    <row r="6" spans="1:11" x14ac:dyDescent="0.3">
      <c r="A6" s="75">
        <v>0.66666666666666663</v>
      </c>
      <c r="B6" s="76">
        <v>0.1</v>
      </c>
      <c r="C6">
        <v>0.2</v>
      </c>
      <c r="D6">
        <v>0.3</v>
      </c>
      <c r="E6">
        <v>0.4</v>
      </c>
      <c r="F6">
        <v>0.5</v>
      </c>
      <c r="G6">
        <v>0.6</v>
      </c>
      <c r="H6">
        <v>0.7</v>
      </c>
      <c r="I6">
        <v>0.8</v>
      </c>
      <c r="J6">
        <v>0.9</v>
      </c>
      <c r="K6">
        <v>2</v>
      </c>
    </row>
    <row r="7" spans="1:11" x14ac:dyDescent="0.3">
      <c r="A7" s="75">
        <v>0.70833333333333337</v>
      </c>
      <c r="B7" s="76">
        <v>0.1</v>
      </c>
      <c r="C7">
        <v>0.2</v>
      </c>
      <c r="D7">
        <v>0.3</v>
      </c>
      <c r="E7">
        <v>0.4</v>
      </c>
      <c r="F7">
        <v>0.5</v>
      </c>
      <c r="G7">
        <v>0.6</v>
      </c>
      <c r="H7">
        <v>0.7</v>
      </c>
      <c r="I7">
        <v>0.8</v>
      </c>
      <c r="J7">
        <v>0.9</v>
      </c>
      <c r="K7">
        <v>2</v>
      </c>
    </row>
    <row r="8" spans="1:11" x14ac:dyDescent="0.3">
      <c r="A8" s="75">
        <v>0.75</v>
      </c>
      <c r="B8" s="76">
        <v>0.1</v>
      </c>
      <c r="C8">
        <v>0.2</v>
      </c>
      <c r="D8">
        <v>0.3</v>
      </c>
      <c r="E8">
        <v>0.4</v>
      </c>
      <c r="F8">
        <v>0.5</v>
      </c>
      <c r="G8">
        <v>0.6</v>
      </c>
      <c r="H8">
        <v>0.7</v>
      </c>
      <c r="I8">
        <v>0.8</v>
      </c>
      <c r="J8">
        <v>0.9</v>
      </c>
      <c r="K8">
        <v>2</v>
      </c>
    </row>
    <row r="9" spans="1:11" x14ac:dyDescent="0.3">
      <c r="A9" s="75">
        <v>0.79166666666666663</v>
      </c>
      <c r="B9" s="76">
        <v>0.1</v>
      </c>
      <c r="C9">
        <v>0.2</v>
      </c>
      <c r="D9">
        <v>0.3</v>
      </c>
      <c r="E9">
        <v>0.4</v>
      </c>
      <c r="F9">
        <v>0.5</v>
      </c>
      <c r="G9">
        <v>0.6</v>
      </c>
      <c r="H9">
        <v>0.7</v>
      </c>
      <c r="I9">
        <v>0.8</v>
      </c>
      <c r="J9">
        <v>0.9</v>
      </c>
      <c r="K9">
        <v>2</v>
      </c>
    </row>
    <row r="10" spans="1:11" x14ac:dyDescent="0.3">
      <c r="A10" s="75">
        <v>0.83333333333333337</v>
      </c>
      <c r="B10" s="76">
        <v>0.1</v>
      </c>
      <c r="C10">
        <v>0.2</v>
      </c>
      <c r="D10">
        <v>0.3</v>
      </c>
      <c r="E10">
        <v>0.4</v>
      </c>
      <c r="F10">
        <v>0.5</v>
      </c>
      <c r="G10">
        <v>0.6</v>
      </c>
      <c r="H10">
        <v>0.7</v>
      </c>
      <c r="I10">
        <v>0.8</v>
      </c>
      <c r="J10">
        <v>0.9</v>
      </c>
      <c r="K10">
        <v>2</v>
      </c>
    </row>
    <row r="11" spans="1:11" x14ac:dyDescent="0.3">
      <c r="A11" s="75">
        <v>0.875</v>
      </c>
      <c r="B11" s="76">
        <v>0.1</v>
      </c>
      <c r="C11">
        <v>0.2</v>
      </c>
      <c r="D11">
        <v>0.3</v>
      </c>
      <c r="E11">
        <v>0.4</v>
      </c>
      <c r="F11">
        <v>0.5</v>
      </c>
      <c r="G11">
        <v>0.6</v>
      </c>
      <c r="H11">
        <v>0.7</v>
      </c>
      <c r="I11">
        <v>0.8</v>
      </c>
      <c r="J11">
        <v>0.9</v>
      </c>
      <c r="K11">
        <v>2</v>
      </c>
    </row>
    <row r="12" spans="1:11" x14ac:dyDescent="0.3">
      <c r="A12" s="75">
        <v>0.91666666666666663</v>
      </c>
      <c r="B12" s="76">
        <v>0.1</v>
      </c>
      <c r="C12">
        <v>0.2</v>
      </c>
      <c r="D12">
        <v>0.3</v>
      </c>
      <c r="E12">
        <v>0.4</v>
      </c>
      <c r="F12">
        <v>0.5</v>
      </c>
      <c r="G12">
        <v>0.6</v>
      </c>
      <c r="H12">
        <v>0.7</v>
      </c>
      <c r="I12">
        <v>0.8</v>
      </c>
      <c r="J12">
        <v>0.9</v>
      </c>
      <c r="K12">
        <v>2</v>
      </c>
    </row>
    <row r="13" spans="1:11" x14ac:dyDescent="0.3">
      <c r="A13" s="75">
        <v>0.95833333333333337</v>
      </c>
      <c r="B13" s="76">
        <v>0.1</v>
      </c>
      <c r="C13">
        <v>0.2</v>
      </c>
      <c r="D13">
        <v>0.3</v>
      </c>
      <c r="E13">
        <v>0.4</v>
      </c>
      <c r="F13">
        <v>0.5</v>
      </c>
      <c r="G13">
        <v>0.6</v>
      </c>
      <c r="H13">
        <v>0.7</v>
      </c>
      <c r="I13">
        <v>0.8</v>
      </c>
      <c r="J13">
        <v>0.9</v>
      </c>
      <c r="K13">
        <v>2</v>
      </c>
    </row>
    <row r="14" spans="1:11" x14ac:dyDescent="0.3">
      <c r="A14" s="75">
        <v>0</v>
      </c>
      <c r="B14" s="76">
        <v>0.1</v>
      </c>
      <c r="C14">
        <v>0.2</v>
      </c>
      <c r="D14">
        <v>0.3</v>
      </c>
      <c r="E14">
        <v>0.4</v>
      </c>
      <c r="F14">
        <v>0.5</v>
      </c>
      <c r="G14">
        <v>0.6</v>
      </c>
      <c r="H14">
        <v>0.7</v>
      </c>
      <c r="I14">
        <v>0.8</v>
      </c>
      <c r="J14">
        <v>0.9</v>
      </c>
      <c r="K14">
        <v>2</v>
      </c>
    </row>
    <row r="15" spans="1:11" x14ac:dyDescent="0.3">
      <c r="A15" s="75">
        <v>4.1666666666666664E-2</v>
      </c>
      <c r="B15" s="76">
        <v>0.1</v>
      </c>
      <c r="C15">
        <v>0.2</v>
      </c>
      <c r="D15">
        <v>0.3</v>
      </c>
      <c r="E15">
        <v>0.4</v>
      </c>
      <c r="F15">
        <v>0.5</v>
      </c>
      <c r="G15">
        <v>0.6</v>
      </c>
      <c r="H15">
        <v>0.7</v>
      </c>
      <c r="I15">
        <v>0.8</v>
      </c>
      <c r="J15">
        <v>0.9</v>
      </c>
      <c r="K15">
        <v>2</v>
      </c>
    </row>
    <row r="16" spans="1:11" x14ac:dyDescent="0.3">
      <c r="B16" s="25" t="s">
        <v>235</v>
      </c>
      <c r="C16">
        <f t="shared" ref="C16:I16" si="0">SUM(C1:C15)</f>
        <v>3.0000000000000004</v>
      </c>
      <c r="D16">
        <f t="shared" si="0"/>
        <v>4.4999999999999991</v>
      </c>
      <c r="E16">
        <f t="shared" si="0"/>
        <v>6.0000000000000009</v>
      </c>
      <c r="F16">
        <f t="shared" si="0"/>
        <v>7.5</v>
      </c>
      <c r="G16">
        <f t="shared" si="0"/>
        <v>8.9999999999999982</v>
      </c>
      <c r="H16">
        <f t="shared" si="0"/>
        <v>10.499999999999998</v>
      </c>
      <c r="I16">
        <f t="shared" si="0"/>
        <v>12.000000000000002</v>
      </c>
      <c r="J16">
        <f>SUM(J1:J15)</f>
        <v>13.500000000000004</v>
      </c>
      <c r="K16">
        <f>SUM(K1:K15)</f>
        <v>30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11F6-6EE1-4FA3-AFA0-AAD71A58996E}">
  <sheetPr codeName="Sheet7"/>
  <dimension ref="A1:N40"/>
  <sheetViews>
    <sheetView workbookViewId="0">
      <selection activeCell="B5" sqref="B5"/>
    </sheetView>
  </sheetViews>
  <sheetFormatPr defaultRowHeight="14.4" x14ac:dyDescent="0.3"/>
  <cols>
    <col min="2" max="2" width="17.6640625" style="65" bestFit="1" customWidth="1"/>
    <col min="3" max="3" width="20.6640625" bestFit="1" customWidth="1"/>
    <col min="4" max="4" width="6.88671875" customWidth="1"/>
    <col min="5" max="5" width="12.77734375" bestFit="1" customWidth="1"/>
    <col min="6" max="6" width="15.44140625" customWidth="1"/>
    <col min="7" max="7" width="10" customWidth="1"/>
  </cols>
  <sheetData>
    <row r="1" spans="1:14" x14ac:dyDescent="0.3"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14" x14ac:dyDescent="0.3">
      <c r="A2" t="s">
        <v>177</v>
      </c>
      <c r="B2" s="65" t="s">
        <v>31</v>
      </c>
      <c r="C2" t="s">
        <v>168</v>
      </c>
      <c r="E2" t="s">
        <v>171</v>
      </c>
      <c r="F2" t="s">
        <v>173</v>
      </c>
      <c r="G2" t="s">
        <v>172</v>
      </c>
    </row>
    <row r="3" spans="1:14" s="66" customFormat="1" x14ac:dyDescent="0.3">
      <c r="B3" s="67"/>
    </row>
    <row r="4" spans="1:14" s="69" customFormat="1" x14ac:dyDescent="0.3">
      <c r="B4" s="71" t="s">
        <v>179</v>
      </c>
    </row>
    <row r="5" spans="1:14" s="69" customFormat="1" x14ac:dyDescent="0.3">
      <c r="B5" s="71" t="s">
        <v>178</v>
      </c>
    </row>
    <row r="6" spans="1:14" s="69" customFormat="1" x14ac:dyDescent="0.3">
      <c r="B6" s="71" t="s">
        <v>180</v>
      </c>
    </row>
    <row r="7" spans="1:14" s="69" customFormat="1" x14ac:dyDescent="0.3">
      <c r="B7" s="71" t="s">
        <v>181</v>
      </c>
    </row>
    <row r="8" spans="1:14" s="69" customFormat="1" x14ac:dyDescent="0.3">
      <c r="B8" s="71" t="s">
        <v>182</v>
      </c>
    </row>
    <row r="9" spans="1:14" s="69" customFormat="1" x14ac:dyDescent="0.3">
      <c r="B9" s="71" t="s">
        <v>183</v>
      </c>
    </row>
    <row r="10" spans="1:14" s="69" customFormat="1" x14ac:dyDescent="0.3">
      <c r="B10" s="71" t="s">
        <v>184</v>
      </c>
    </row>
    <row r="11" spans="1:14" s="69" customFormat="1" x14ac:dyDescent="0.3">
      <c r="B11" s="71" t="s">
        <v>185</v>
      </c>
    </row>
    <row r="12" spans="1:14" s="69" customFormat="1" x14ac:dyDescent="0.3">
      <c r="B12" s="71" t="s">
        <v>186</v>
      </c>
    </row>
    <row r="13" spans="1:14" s="69" customFormat="1" x14ac:dyDescent="0.3">
      <c r="B13" s="71" t="s">
        <v>187</v>
      </c>
    </row>
    <row r="14" spans="1:14" s="69" customFormat="1" x14ac:dyDescent="0.3">
      <c r="B14" s="71" t="s">
        <v>188</v>
      </c>
    </row>
    <row r="15" spans="1:14" s="72" customFormat="1" x14ac:dyDescent="0.3">
      <c r="B15" s="71" t="s">
        <v>189</v>
      </c>
    </row>
    <row r="16" spans="1:14" s="69" customFormat="1" x14ac:dyDescent="0.3">
      <c r="B16" s="71" t="s">
        <v>190</v>
      </c>
    </row>
    <row r="17" spans="1:4" s="69" customFormat="1" x14ac:dyDescent="0.3">
      <c r="B17" s="71" t="s">
        <v>114</v>
      </c>
    </row>
    <row r="18" spans="1:4" s="69" customFormat="1" x14ac:dyDescent="0.3">
      <c r="B18" s="71" t="s">
        <v>107</v>
      </c>
    </row>
    <row r="19" spans="1:4" s="69" customFormat="1" x14ac:dyDescent="0.3">
      <c r="B19" s="71" t="s">
        <v>191</v>
      </c>
    </row>
    <row r="20" spans="1:4" s="69" customFormat="1" x14ac:dyDescent="0.3">
      <c r="B20" s="71" t="s">
        <v>192</v>
      </c>
    </row>
    <row r="21" spans="1:4" s="69" customFormat="1" x14ac:dyDescent="0.3">
      <c r="B21" s="71" t="s">
        <v>64</v>
      </c>
    </row>
    <row r="22" spans="1:4" s="72" customFormat="1" x14ac:dyDescent="0.3">
      <c r="B22" s="71" t="s">
        <v>138</v>
      </c>
    </row>
    <row r="23" spans="1:4" s="69" customFormat="1" x14ac:dyDescent="0.3">
      <c r="B23" s="71" t="s">
        <v>193</v>
      </c>
    </row>
    <row r="24" spans="1:4" s="69" customFormat="1" x14ac:dyDescent="0.3">
      <c r="B24" s="71" t="s">
        <v>194</v>
      </c>
    </row>
    <row r="25" spans="1:4" s="69" customFormat="1" x14ac:dyDescent="0.3">
      <c r="B25" s="71" t="s">
        <v>59</v>
      </c>
    </row>
    <row r="26" spans="1:4" s="69" customFormat="1" x14ac:dyDescent="0.3">
      <c r="B26" s="71" t="s">
        <v>76</v>
      </c>
    </row>
    <row r="27" spans="1:4" s="69" customFormat="1" x14ac:dyDescent="0.3">
      <c r="B27" s="71" t="s">
        <v>195</v>
      </c>
    </row>
    <row r="28" spans="1:4" s="69" customFormat="1" x14ac:dyDescent="0.3">
      <c r="B28" s="73" t="s">
        <v>200</v>
      </c>
    </row>
    <row r="29" spans="1:4" s="69" customFormat="1" x14ac:dyDescent="0.3">
      <c r="B29" s="73" t="s">
        <v>238</v>
      </c>
    </row>
    <row r="30" spans="1:4" s="69" customFormat="1" x14ac:dyDescent="0.3">
      <c r="B30" s="70" t="s">
        <v>239</v>
      </c>
    </row>
    <row r="31" spans="1:4" s="69" customFormat="1" x14ac:dyDescent="0.3">
      <c r="B31" s="70"/>
    </row>
    <row r="32" spans="1:4" x14ac:dyDescent="0.3">
      <c r="A32" s="68">
        <v>45548</v>
      </c>
      <c r="B32" s="73" t="s">
        <v>200</v>
      </c>
      <c r="C32" t="s">
        <v>169</v>
      </c>
      <c r="D32" s="174">
        <v>2</v>
      </c>
    </row>
    <row r="33" spans="1:4" x14ac:dyDescent="0.3">
      <c r="A33" s="68">
        <v>45548</v>
      </c>
      <c r="B33" s="65" t="s">
        <v>136</v>
      </c>
      <c r="C33" t="s">
        <v>124</v>
      </c>
      <c r="D33" s="148"/>
    </row>
    <row r="34" spans="1:4" x14ac:dyDescent="0.3">
      <c r="A34" s="68">
        <v>45548</v>
      </c>
      <c r="B34" s="65" t="s">
        <v>59</v>
      </c>
      <c r="C34" t="s">
        <v>236</v>
      </c>
      <c r="D34" s="148"/>
    </row>
    <row r="35" spans="1:4" x14ac:dyDescent="0.3">
      <c r="A35" s="68">
        <v>45548</v>
      </c>
      <c r="B35" s="65" t="s">
        <v>174</v>
      </c>
      <c r="C35" t="s">
        <v>123</v>
      </c>
      <c r="D35" s="148"/>
    </row>
    <row r="36" spans="1:4" ht="15" thickBot="1" x14ac:dyDescent="0.35">
      <c r="A36" s="68">
        <v>45548</v>
      </c>
      <c r="B36" s="65" t="s">
        <v>196</v>
      </c>
      <c r="C36" t="s">
        <v>102</v>
      </c>
      <c r="D36" s="148"/>
    </row>
    <row r="37" spans="1:4" ht="15.6" thickTop="1" thickBot="1" x14ac:dyDescent="0.35">
      <c r="A37" s="78"/>
      <c r="B37" s="79"/>
      <c r="C37" s="80"/>
      <c r="D37" s="77"/>
    </row>
    <row r="38" spans="1:4" ht="15" thickTop="1" x14ac:dyDescent="0.3">
      <c r="A38" s="68">
        <v>45548</v>
      </c>
      <c r="B38" s="65" t="s">
        <v>170</v>
      </c>
      <c r="C38" t="s">
        <v>169</v>
      </c>
      <c r="D38" s="148">
        <v>2</v>
      </c>
    </row>
    <row r="39" spans="1:4" x14ac:dyDescent="0.3">
      <c r="A39" s="68">
        <v>45548</v>
      </c>
      <c r="B39" s="65" t="s">
        <v>175</v>
      </c>
      <c r="C39" t="s">
        <v>176</v>
      </c>
      <c r="D39" s="148"/>
    </row>
    <row r="40" spans="1:4" x14ac:dyDescent="0.3">
      <c r="A40" s="68">
        <v>45548</v>
      </c>
      <c r="B40" s="65" t="s">
        <v>237</v>
      </c>
      <c r="C40" t="s">
        <v>32</v>
      </c>
      <c r="D40" s="148"/>
    </row>
  </sheetData>
  <mergeCells count="3">
    <mergeCell ref="B1:N1"/>
    <mergeCell ref="D32:D36"/>
    <mergeCell ref="D38:D40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2766-693C-4603-AB98-7C23263BD8CC}">
  <dimension ref="A1:X31"/>
  <sheetViews>
    <sheetView workbookViewId="0">
      <selection activeCell="E13" sqref="E13"/>
    </sheetView>
  </sheetViews>
  <sheetFormatPr defaultRowHeight="14.4" x14ac:dyDescent="0.3"/>
  <cols>
    <col min="1" max="1" width="8.88671875" style="84"/>
    <col min="2" max="3" width="8.88671875" style="71"/>
  </cols>
  <sheetData>
    <row r="1" spans="1:24" s="82" customFormat="1" x14ac:dyDescent="0.3">
      <c r="A1" s="84"/>
      <c r="B1" s="85">
        <v>0.29166666666666669</v>
      </c>
      <c r="C1" s="86">
        <v>0.375</v>
      </c>
      <c r="D1" s="83">
        <v>0.41666666666666669</v>
      </c>
      <c r="E1" s="83">
        <v>0.45833333333333331</v>
      </c>
      <c r="F1" s="83">
        <v>0.5</v>
      </c>
      <c r="G1" s="83">
        <v>0.54166666666666696</v>
      </c>
      <c r="H1" s="83">
        <v>0.58333333333333304</v>
      </c>
      <c r="I1" s="83">
        <v>0.625</v>
      </c>
      <c r="J1" s="85">
        <v>0.66666666666666696</v>
      </c>
      <c r="K1" s="83">
        <v>0.70833333333333304</v>
      </c>
      <c r="L1" s="83">
        <v>0.75</v>
      </c>
      <c r="M1" s="83">
        <v>0.79166666666666696</v>
      </c>
      <c r="N1" s="83">
        <v>0.83333333333333304</v>
      </c>
      <c r="O1" s="83">
        <v>0.875</v>
      </c>
      <c r="P1" s="83">
        <v>0.91666666666666696</v>
      </c>
      <c r="Q1" s="83">
        <v>0.95833333333333304</v>
      </c>
      <c r="R1" s="83">
        <v>1</v>
      </c>
      <c r="S1" s="83">
        <v>1.0416666666666701</v>
      </c>
      <c r="T1" s="83">
        <v>1.0833333333333299</v>
      </c>
      <c r="U1" s="83">
        <v>1.125</v>
      </c>
      <c r="V1" s="83">
        <v>1.1666666666666701</v>
      </c>
    </row>
    <row r="2" spans="1:24" x14ac:dyDescent="0.3">
      <c r="A2" s="84" t="s">
        <v>2</v>
      </c>
      <c r="D2" s="81"/>
      <c r="E2" s="81"/>
      <c r="F2" s="81">
        <v>3</v>
      </c>
      <c r="G2" s="81"/>
      <c r="H2" s="81"/>
      <c r="I2" s="81"/>
      <c r="J2" s="81">
        <v>8</v>
      </c>
      <c r="K2" s="81"/>
      <c r="L2" s="81">
        <v>5</v>
      </c>
      <c r="M2" s="81">
        <v>6</v>
      </c>
      <c r="N2" s="81">
        <v>3</v>
      </c>
      <c r="O2" s="81">
        <v>8</v>
      </c>
      <c r="P2" s="81"/>
      <c r="Q2" s="81"/>
      <c r="R2" s="81"/>
      <c r="S2" s="81"/>
      <c r="T2" s="81"/>
      <c r="U2" s="81"/>
      <c r="V2" s="81"/>
      <c r="W2" s="81"/>
      <c r="X2" s="81"/>
    </row>
    <row r="3" spans="1:24" x14ac:dyDescent="0.3">
      <c r="A3" s="84" t="s">
        <v>3</v>
      </c>
      <c r="D3" s="81">
        <v>1</v>
      </c>
      <c r="E3" s="81">
        <v>1</v>
      </c>
      <c r="F3" s="81"/>
      <c r="G3" s="81">
        <v>1</v>
      </c>
      <c r="H3" s="81">
        <v>4</v>
      </c>
      <c r="I3" s="81"/>
      <c r="J3" s="81"/>
      <c r="K3" s="81">
        <v>2</v>
      </c>
      <c r="L3" s="81">
        <v>17</v>
      </c>
      <c r="M3" s="81">
        <v>1</v>
      </c>
      <c r="N3" s="81">
        <v>2</v>
      </c>
      <c r="O3" s="81">
        <v>17</v>
      </c>
      <c r="P3" s="81"/>
      <c r="Q3" s="81"/>
      <c r="R3" s="81"/>
      <c r="S3" s="81"/>
      <c r="T3" s="81"/>
      <c r="U3" s="81"/>
      <c r="V3" s="81"/>
    </row>
    <row r="4" spans="1:24" x14ac:dyDescent="0.3">
      <c r="A4" s="84" t="s">
        <v>4</v>
      </c>
      <c r="E4">
        <v>1</v>
      </c>
      <c r="F4">
        <v>1</v>
      </c>
      <c r="G4">
        <v>3</v>
      </c>
      <c r="H4">
        <v>3</v>
      </c>
      <c r="I4">
        <v>5</v>
      </c>
      <c r="J4">
        <v>4</v>
      </c>
      <c r="K4">
        <v>11</v>
      </c>
      <c r="L4">
        <v>15</v>
      </c>
      <c r="M4">
        <v>18</v>
      </c>
      <c r="N4">
        <v>41</v>
      </c>
      <c r="O4">
        <v>3</v>
      </c>
      <c r="S4">
        <v>1</v>
      </c>
    </row>
    <row r="5" spans="1:24" x14ac:dyDescent="0.3">
      <c r="A5" s="84" t="s">
        <v>240</v>
      </c>
      <c r="C5">
        <v>9</v>
      </c>
      <c r="D5">
        <v>14</v>
      </c>
      <c r="E5">
        <v>1</v>
      </c>
      <c r="F5">
        <v>9</v>
      </c>
      <c r="G5">
        <v>18</v>
      </c>
      <c r="H5">
        <v>27</v>
      </c>
      <c r="I5">
        <v>43</v>
      </c>
      <c r="J5">
        <v>100</v>
      </c>
      <c r="K5">
        <v>22</v>
      </c>
      <c r="L5">
        <v>34</v>
      </c>
      <c r="M5">
        <v>10</v>
      </c>
      <c r="N5">
        <v>25</v>
      </c>
      <c r="O5">
        <v>9</v>
      </c>
      <c r="P5">
        <v>7</v>
      </c>
      <c r="Q5">
        <v>3</v>
      </c>
      <c r="R5">
        <v>3</v>
      </c>
      <c r="S5">
        <v>2</v>
      </c>
      <c r="T5">
        <v>4</v>
      </c>
    </row>
    <row r="6" spans="1:24" x14ac:dyDescent="0.3">
      <c r="A6" s="84" t="s">
        <v>243</v>
      </c>
      <c r="B6">
        <v>7</v>
      </c>
      <c r="C6">
        <v>3</v>
      </c>
      <c r="D6">
        <v>9</v>
      </c>
      <c r="E6">
        <v>1</v>
      </c>
      <c r="F6">
        <v>10</v>
      </c>
      <c r="G6">
        <v>9</v>
      </c>
      <c r="H6">
        <v>23</v>
      </c>
      <c r="I6">
        <v>33</v>
      </c>
      <c r="J6">
        <v>31</v>
      </c>
      <c r="K6">
        <v>20</v>
      </c>
      <c r="L6">
        <v>28</v>
      </c>
      <c r="M6">
        <v>16</v>
      </c>
      <c r="N6">
        <v>23</v>
      </c>
      <c r="O6">
        <v>9</v>
      </c>
      <c r="R6">
        <v>4</v>
      </c>
      <c r="S6">
        <v>14</v>
      </c>
      <c r="T6">
        <v>8</v>
      </c>
      <c r="U6">
        <v>3</v>
      </c>
      <c r="V6">
        <v>4</v>
      </c>
    </row>
    <row r="7" spans="1:24" x14ac:dyDescent="0.3">
      <c r="A7" s="84" t="s">
        <v>0</v>
      </c>
    </row>
    <row r="8" spans="1:24" x14ac:dyDescent="0.3">
      <c r="A8" s="84" t="s">
        <v>1</v>
      </c>
    </row>
    <row r="9" spans="1:24" x14ac:dyDescent="0.3">
      <c r="A9" s="84" t="s">
        <v>2</v>
      </c>
    </row>
    <row r="10" spans="1:24" x14ac:dyDescent="0.3">
      <c r="A10" s="84" t="s">
        <v>3</v>
      </c>
    </row>
    <row r="11" spans="1:24" x14ac:dyDescent="0.3">
      <c r="A11" s="84" t="s">
        <v>4</v>
      </c>
    </row>
    <row r="12" spans="1:24" x14ac:dyDescent="0.3">
      <c r="A12" s="84" t="s">
        <v>240</v>
      </c>
    </row>
    <row r="13" spans="1:24" x14ac:dyDescent="0.3">
      <c r="A13" s="84" t="s">
        <v>243</v>
      </c>
    </row>
    <row r="14" spans="1:24" x14ac:dyDescent="0.3">
      <c r="A14" s="84" t="s">
        <v>0</v>
      </c>
    </row>
    <row r="15" spans="1:24" x14ac:dyDescent="0.3">
      <c r="A15" s="84" t="s">
        <v>1</v>
      </c>
    </row>
    <row r="16" spans="1:24" x14ac:dyDescent="0.3">
      <c r="A16" s="84" t="s">
        <v>2</v>
      </c>
    </row>
    <row r="17" spans="1:1" x14ac:dyDescent="0.3">
      <c r="A17" s="84" t="s">
        <v>3</v>
      </c>
    </row>
    <row r="18" spans="1:1" x14ac:dyDescent="0.3">
      <c r="A18" s="84" t="s">
        <v>4</v>
      </c>
    </row>
    <row r="19" spans="1:1" x14ac:dyDescent="0.3">
      <c r="A19" s="84" t="s">
        <v>240</v>
      </c>
    </row>
    <row r="20" spans="1:1" x14ac:dyDescent="0.3">
      <c r="A20" s="84" t="s">
        <v>243</v>
      </c>
    </row>
    <row r="21" spans="1:1" x14ac:dyDescent="0.3">
      <c r="A21" s="84" t="s">
        <v>0</v>
      </c>
    </row>
    <row r="22" spans="1:1" x14ac:dyDescent="0.3">
      <c r="A22" s="84" t="s">
        <v>1</v>
      </c>
    </row>
    <row r="23" spans="1:1" x14ac:dyDescent="0.3">
      <c r="A23" s="84" t="s">
        <v>2</v>
      </c>
    </row>
    <row r="24" spans="1:1" x14ac:dyDescent="0.3">
      <c r="A24" s="84" t="s">
        <v>3</v>
      </c>
    </row>
    <row r="25" spans="1:1" x14ac:dyDescent="0.3">
      <c r="A25" s="84" t="s">
        <v>4</v>
      </c>
    </row>
    <row r="26" spans="1:1" x14ac:dyDescent="0.3">
      <c r="A26" s="84" t="s">
        <v>240</v>
      </c>
    </row>
    <row r="27" spans="1:1" x14ac:dyDescent="0.3">
      <c r="A27" s="84" t="s">
        <v>243</v>
      </c>
    </row>
    <row r="28" spans="1:1" x14ac:dyDescent="0.3">
      <c r="A28" s="84" t="s">
        <v>0</v>
      </c>
    </row>
    <row r="29" spans="1:1" x14ac:dyDescent="0.3">
      <c r="A29" s="84" t="s">
        <v>1</v>
      </c>
    </row>
    <row r="30" spans="1:1" x14ac:dyDescent="0.3">
      <c r="A30" s="84" t="s">
        <v>2</v>
      </c>
    </row>
    <row r="31" spans="1:1" x14ac:dyDescent="0.3">
      <c r="A31" s="84" t="s">
        <v>3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9A3D-8A06-4D5A-AB2C-65EBDDEE8965}">
  <dimension ref="A1:X35"/>
  <sheetViews>
    <sheetView topLeftCell="A6" workbookViewId="0">
      <selection activeCell="N17" sqref="N17"/>
    </sheetView>
  </sheetViews>
  <sheetFormatPr defaultRowHeight="14.4" x14ac:dyDescent="0.3"/>
  <cols>
    <col min="3" max="3" width="10.21875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x14ac:dyDescent="0.3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4"/>
      <c r="X3" s="93"/>
    </row>
    <row r="4" spans="1:24" x14ac:dyDescent="0.3"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4"/>
      <c r="X4" s="93"/>
    </row>
    <row r="5" spans="1:24" x14ac:dyDescent="0.3"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4"/>
      <c r="X5" s="93"/>
    </row>
    <row r="6" spans="1:24" x14ac:dyDescent="0.3"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4"/>
      <c r="X6" s="93"/>
    </row>
    <row r="7" spans="1:24" x14ac:dyDescent="0.3"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4"/>
      <c r="X7" s="93"/>
    </row>
    <row r="8" spans="1:24" ht="15" thickBot="1" x14ac:dyDescent="0.35"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4"/>
      <c r="X8" s="93"/>
    </row>
    <row r="9" spans="1:24" x14ac:dyDescent="0.3">
      <c r="A9" s="175" t="s">
        <v>252</v>
      </c>
      <c r="B9" s="176"/>
      <c r="C9" t="s">
        <v>262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 t="s">
        <v>253</v>
      </c>
      <c r="Q9" s="91"/>
      <c r="R9" s="91"/>
      <c r="S9" s="91"/>
      <c r="T9" s="91"/>
      <c r="U9" s="91"/>
      <c r="V9" s="91"/>
      <c r="W9" s="94"/>
      <c r="X9" s="93"/>
    </row>
    <row r="10" spans="1:24" x14ac:dyDescent="0.3">
      <c r="A10" s="177"/>
      <c r="B10" s="178"/>
      <c r="C10" t="s">
        <v>263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4"/>
      <c r="X10" s="93"/>
    </row>
    <row r="11" spans="1:24" x14ac:dyDescent="0.3">
      <c r="A11" s="177"/>
      <c r="B11" s="178"/>
      <c r="C11" t="s">
        <v>248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 t="s">
        <v>253</v>
      </c>
      <c r="R11" s="91"/>
      <c r="S11" s="91"/>
      <c r="T11" s="91"/>
      <c r="U11" s="91"/>
      <c r="V11" s="91"/>
      <c r="W11" s="94"/>
      <c r="X11" s="93"/>
    </row>
    <row r="12" spans="1:24" x14ac:dyDescent="0.3">
      <c r="A12" s="177"/>
      <c r="B12" s="178"/>
      <c r="C12" s="92" t="s">
        <v>250</v>
      </c>
      <c r="D12" s="91"/>
      <c r="E12" s="91"/>
      <c r="F12" s="91"/>
      <c r="G12" s="91"/>
      <c r="H12" s="91"/>
      <c r="I12" s="91"/>
      <c r="J12" s="91"/>
      <c r="P12">
        <v>1</v>
      </c>
      <c r="Q12" s="91"/>
      <c r="R12" s="91"/>
      <c r="S12" s="91"/>
      <c r="T12" s="91"/>
      <c r="U12" s="91"/>
      <c r="V12" s="91"/>
      <c r="W12" s="94"/>
      <c r="X12" s="93"/>
    </row>
    <row r="13" spans="1:24" ht="15" thickBot="1" x14ac:dyDescent="0.35">
      <c r="A13" s="179"/>
      <c r="B13" s="180"/>
      <c r="C13" t="s">
        <v>251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 t="s">
        <v>253</v>
      </c>
      <c r="Q13" s="91"/>
      <c r="R13" s="91"/>
      <c r="S13" s="91"/>
      <c r="T13" s="91"/>
      <c r="U13" s="91"/>
      <c r="V13" s="91"/>
      <c r="W13" s="91"/>
    </row>
    <row r="14" spans="1:24" x14ac:dyDescent="0.3">
      <c r="A14" s="175" t="s">
        <v>247</v>
      </c>
      <c r="B14" s="176"/>
      <c r="C14" t="s">
        <v>261</v>
      </c>
      <c r="D14" s="91"/>
      <c r="E14" s="91"/>
      <c r="F14" s="91"/>
      <c r="G14" s="91"/>
      <c r="H14" s="91"/>
      <c r="I14" s="91"/>
      <c r="J14" s="91"/>
      <c r="K14" s="91"/>
      <c r="L14" s="91"/>
      <c r="M14" s="91" t="s">
        <v>258</v>
      </c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 spans="1:24" x14ac:dyDescent="0.3">
      <c r="A15" s="177"/>
      <c r="B15" s="178"/>
      <c r="C15" t="s">
        <v>259</v>
      </c>
      <c r="D15" s="91"/>
      <c r="E15" s="91"/>
      <c r="F15" s="91"/>
      <c r="G15" s="91"/>
      <c r="H15" s="91"/>
      <c r="I15" s="91"/>
      <c r="J15" s="91"/>
      <c r="K15" s="91"/>
      <c r="L15" s="91" t="s">
        <v>256</v>
      </c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 spans="1:24" x14ac:dyDescent="0.3">
      <c r="A16" s="177"/>
      <c r="B16" s="178"/>
      <c r="C16" t="s">
        <v>262</v>
      </c>
      <c r="D16" s="91"/>
      <c r="E16" s="91"/>
      <c r="F16" s="91"/>
      <c r="G16" s="91"/>
      <c r="H16" s="91"/>
      <c r="I16" s="91"/>
      <c r="J16" s="91"/>
      <c r="K16" s="91"/>
      <c r="L16" s="91" t="s">
        <v>253</v>
      </c>
      <c r="M16" s="91"/>
      <c r="N16" s="91" t="s">
        <v>253</v>
      </c>
      <c r="O16" s="91"/>
      <c r="P16" s="91" t="s">
        <v>253</v>
      </c>
      <c r="Q16" s="91"/>
      <c r="R16" s="91"/>
      <c r="S16" s="91"/>
      <c r="T16" s="91"/>
      <c r="U16" s="91"/>
      <c r="V16" s="91"/>
      <c r="W16" s="91"/>
    </row>
    <row r="17" spans="1:23" x14ac:dyDescent="0.3">
      <c r="A17" s="177"/>
      <c r="B17" s="178"/>
      <c r="C17" s="95" t="s">
        <v>249</v>
      </c>
      <c r="D17" s="96"/>
      <c r="E17" s="96"/>
      <c r="F17" s="96"/>
      <c r="G17" s="96"/>
      <c r="H17" s="96"/>
      <c r="I17" s="96">
        <v>1</v>
      </c>
      <c r="J17" s="96"/>
      <c r="K17" s="96"/>
      <c r="L17" s="96">
        <v>5</v>
      </c>
      <c r="M17" s="96"/>
      <c r="N17" s="96">
        <v>1</v>
      </c>
      <c r="O17" s="96"/>
      <c r="P17" s="96"/>
      <c r="Q17" s="96"/>
      <c r="R17" s="96"/>
      <c r="S17" s="91"/>
      <c r="T17" s="91"/>
      <c r="U17" s="91"/>
      <c r="V17" s="91"/>
      <c r="W17" s="91"/>
    </row>
    <row r="18" spans="1:23" x14ac:dyDescent="0.3">
      <c r="A18" s="177"/>
      <c r="B18" s="178"/>
      <c r="C18" s="92" t="s">
        <v>248</v>
      </c>
      <c r="D18" s="91"/>
      <c r="E18" s="91"/>
      <c r="F18" s="91"/>
      <c r="G18" s="91"/>
      <c r="H18" s="91"/>
      <c r="I18" s="91"/>
      <c r="J18" s="91">
        <v>1</v>
      </c>
      <c r="K18" s="91"/>
      <c r="L18" s="91">
        <v>1</v>
      </c>
      <c r="M18" s="91"/>
      <c r="N18" s="91">
        <v>1</v>
      </c>
      <c r="O18" s="91"/>
      <c r="P18" s="91"/>
      <c r="Q18" s="91">
        <v>1</v>
      </c>
      <c r="R18" s="91"/>
      <c r="S18" s="91"/>
      <c r="T18" s="91"/>
      <c r="U18" s="91"/>
      <c r="V18" s="91"/>
      <c r="W18" s="91"/>
    </row>
    <row r="19" spans="1:23" x14ac:dyDescent="0.3">
      <c r="A19" s="177"/>
      <c r="B19" s="178"/>
      <c r="C19" s="92" t="s">
        <v>250</v>
      </c>
      <c r="D19" s="91"/>
      <c r="E19" s="91"/>
      <c r="F19" s="91"/>
      <c r="G19" s="91"/>
      <c r="H19" s="91"/>
      <c r="I19" s="91"/>
      <c r="J19" s="91"/>
      <c r="K19" s="91" t="s">
        <v>256</v>
      </c>
      <c r="L19" s="91"/>
      <c r="M19" s="91"/>
      <c r="N19" s="91" t="s">
        <v>253</v>
      </c>
      <c r="O19" s="91"/>
      <c r="P19" s="91" t="s">
        <v>253</v>
      </c>
      <c r="Q19" s="91"/>
      <c r="R19" s="91"/>
      <c r="S19" s="91"/>
      <c r="T19" s="91"/>
      <c r="U19" s="91"/>
      <c r="V19" s="91"/>
      <c r="W19" s="91"/>
    </row>
    <row r="20" spans="1:23" ht="15" thickBot="1" x14ac:dyDescent="0.35">
      <c r="A20" s="179"/>
      <c r="B20" s="180"/>
      <c r="C20" s="92" t="s">
        <v>251</v>
      </c>
      <c r="D20" s="91"/>
      <c r="E20" s="91"/>
      <c r="F20" s="91"/>
      <c r="G20" s="91"/>
      <c r="H20" s="91"/>
      <c r="I20" s="91"/>
      <c r="J20" s="91"/>
      <c r="K20" s="91"/>
      <c r="L20" s="91"/>
      <c r="M20" s="91" t="s">
        <v>253</v>
      </c>
      <c r="N20" s="91"/>
      <c r="O20" s="91" t="s">
        <v>253</v>
      </c>
      <c r="P20" s="91"/>
      <c r="Q20" s="91" t="s">
        <v>253</v>
      </c>
      <c r="R20" s="91"/>
      <c r="S20" s="91"/>
      <c r="T20" s="91"/>
      <c r="U20" s="91"/>
      <c r="V20" s="91"/>
      <c r="W20" s="91"/>
    </row>
    <row r="21" spans="1:23" x14ac:dyDescent="0.3">
      <c r="A21" s="175" t="s">
        <v>254</v>
      </c>
      <c r="B21" s="176"/>
      <c r="C21" s="89" t="s">
        <v>249</v>
      </c>
      <c r="D21" s="91"/>
      <c r="E21" s="91"/>
      <c r="F21" s="91"/>
      <c r="G21" s="91"/>
      <c r="H21" s="91"/>
      <c r="I21" s="91"/>
      <c r="J21" s="91"/>
      <c r="K21" s="91" t="s">
        <v>253</v>
      </c>
      <c r="L21" s="91"/>
      <c r="M21" s="91" t="s">
        <v>253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</row>
    <row r="22" spans="1:23" x14ac:dyDescent="0.3">
      <c r="A22" s="177"/>
      <c r="B22" s="178"/>
      <c r="C22" s="92" t="s">
        <v>248</v>
      </c>
      <c r="D22" s="91"/>
      <c r="E22" s="91"/>
      <c r="F22" s="91"/>
      <c r="G22" s="91"/>
      <c r="H22" s="91"/>
      <c r="I22" s="91"/>
      <c r="J22" s="91" t="s">
        <v>253</v>
      </c>
      <c r="K22" s="91"/>
      <c r="L22" s="91" t="s">
        <v>253</v>
      </c>
      <c r="M22" s="91"/>
      <c r="N22" s="91" t="s">
        <v>253</v>
      </c>
      <c r="O22" s="91"/>
      <c r="P22" s="91"/>
      <c r="Q22" s="91" t="s">
        <v>253</v>
      </c>
      <c r="R22" s="91"/>
      <c r="S22" s="91"/>
      <c r="T22" s="91"/>
      <c r="U22" s="91"/>
      <c r="V22" s="91"/>
      <c r="W22" s="91"/>
    </row>
    <row r="23" spans="1:23" x14ac:dyDescent="0.3">
      <c r="A23" s="177"/>
      <c r="B23" s="178"/>
      <c r="C23" s="92" t="s">
        <v>250</v>
      </c>
      <c r="D23" s="91"/>
      <c r="E23" s="91"/>
      <c r="F23" s="91"/>
      <c r="G23" s="91"/>
      <c r="H23" s="91"/>
      <c r="I23" s="91"/>
      <c r="J23" s="91"/>
      <c r="K23" s="91" t="s">
        <v>253</v>
      </c>
      <c r="L23" s="91"/>
      <c r="M23" s="91" t="s">
        <v>253</v>
      </c>
      <c r="N23" s="91"/>
      <c r="O23" s="91"/>
      <c r="P23" s="91"/>
      <c r="Q23" s="91"/>
      <c r="R23" s="91"/>
      <c r="S23" s="91"/>
      <c r="T23" s="91"/>
      <c r="U23" s="91"/>
      <c r="V23" s="91"/>
      <c r="W23" s="91"/>
    </row>
    <row r="24" spans="1:23" x14ac:dyDescent="0.3">
      <c r="A24" s="177"/>
      <c r="B24" s="178"/>
      <c r="C24" s="92" t="s">
        <v>251</v>
      </c>
      <c r="D24" s="91"/>
      <c r="E24" s="91"/>
      <c r="F24" s="91"/>
      <c r="G24" s="91"/>
      <c r="H24" s="91"/>
      <c r="I24" s="91"/>
      <c r="J24" s="91"/>
      <c r="K24" s="91" t="s">
        <v>253</v>
      </c>
      <c r="L24" s="91"/>
      <c r="M24" s="91" t="s">
        <v>258</v>
      </c>
      <c r="N24" s="91"/>
      <c r="O24" s="91"/>
      <c r="P24" s="91" t="s">
        <v>253</v>
      </c>
      <c r="Q24" s="91"/>
      <c r="R24" s="91"/>
      <c r="S24" s="91"/>
      <c r="T24" s="91"/>
      <c r="U24" s="91"/>
      <c r="V24" s="91"/>
      <c r="W24" s="91"/>
    </row>
    <row r="25" spans="1:23" x14ac:dyDescent="0.3">
      <c r="A25" s="177"/>
      <c r="B25" s="178"/>
      <c r="C25" t="s">
        <v>261</v>
      </c>
      <c r="D25" s="91"/>
      <c r="E25" s="91"/>
      <c r="F25" s="91"/>
      <c r="G25" s="91"/>
      <c r="H25" s="91"/>
      <c r="I25" s="91"/>
      <c r="J25" s="91" t="s">
        <v>257</v>
      </c>
      <c r="K25" s="91"/>
      <c r="L25" s="91"/>
      <c r="M25" s="91" t="s">
        <v>253</v>
      </c>
      <c r="N25" s="91"/>
      <c r="O25" s="91"/>
      <c r="P25" s="91"/>
      <c r="Q25" s="91"/>
      <c r="R25" s="91"/>
      <c r="S25" s="91"/>
      <c r="T25" s="91"/>
      <c r="U25" s="91"/>
      <c r="V25" s="91"/>
      <c r="W25" s="91"/>
    </row>
    <row r="26" spans="1:23" ht="15" thickBot="1" x14ac:dyDescent="0.35">
      <c r="A26" s="179"/>
      <c r="B26" s="180"/>
      <c r="C26" t="s">
        <v>259</v>
      </c>
      <c r="D26" s="91"/>
      <c r="E26" s="91"/>
      <c r="F26" s="91"/>
      <c r="G26" s="91"/>
      <c r="H26" s="91"/>
      <c r="I26" s="91" t="s">
        <v>253</v>
      </c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</row>
    <row r="27" spans="1:23" x14ac:dyDescent="0.3">
      <c r="A27" s="175" t="s">
        <v>255</v>
      </c>
      <c r="B27" s="176"/>
      <c r="C27" s="92" t="s">
        <v>248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 t="s">
        <v>253</v>
      </c>
      <c r="R27" s="91"/>
      <c r="S27" s="91"/>
      <c r="T27" s="91"/>
      <c r="U27" s="91"/>
      <c r="V27" s="91"/>
      <c r="W27" s="91"/>
    </row>
    <row r="28" spans="1:23" x14ac:dyDescent="0.3">
      <c r="A28" s="177"/>
      <c r="B28" s="178"/>
      <c r="C28" s="89" t="s">
        <v>249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 t="s">
        <v>253</v>
      </c>
      <c r="R28" s="91"/>
      <c r="S28" s="91"/>
      <c r="T28" s="91"/>
      <c r="U28" s="91"/>
      <c r="V28" s="91"/>
      <c r="W28" s="91"/>
    </row>
    <row r="29" spans="1:23" x14ac:dyDescent="0.3">
      <c r="A29" s="177"/>
      <c r="B29" s="178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</row>
    <row r="30" spans="1:23" ht="15" thickBot="1" x14ac:dyDescent="0.35">
      <c r="A30" s="179"/>
      <c r="B30" s="180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</row>
    <row r="31" spans="1:23" x14ac:dyDescent="0.3"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</row>
    <row r="32" spans="1:23" x14ac:dyDescent="0.3">
      <c r="D32" s="91" t="s">
        <v>260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</row>
    <row r="33" spans="4:23" x14ac:dyDescent="0.3"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</row>
    <row r="35" spans="4:23" x14ac:dyDescent="0.3">
      <c r="I35" s="91"/>
    </row>
  </sheetData>
  <mergeCells count="4">
    <mergeCell ref="A9:B13"/>
    <mergeCell ref="A27:B30"/>
    <mergeCell ref="A21:B26"/>
    <mergeCell ref="A14:B20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A63F-1DAE-4B17-A4B8-EA31C23695C5}">
  <dimension ref="A1:X84"/>
  <sheetViews>
    <sheetView workbookViewId="0">
      <pane ySplit="1" topLeftCell="A61" activePane="bottomLeft" state="frozen"/>
      <selection pane="bottomLeft" activeCell="C63" sqref="A63:XFD69"/>
    </sheetView>
  </sheetViews>
  <sheetFormatPr defaultRowHeight="14.4" x14ac:dyDescent="0.3"/>
  <cols>
    <col min="3" max="3" width="10.21875" customWidth="1"/>
    <col min="24" max="24" width="15.88671875" bestFit="1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ht="15" thickBot="1" x14ac:dyDescent="0.35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A3" s="175" t="s">
        <v>278</v>
      </c>
      <c r="B3" s="176"/>
      <c r="C3" t="s">
        <v>279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 t="s">
        <v>277</v>
      </c>
      <c r="S3" s="91"/>
      <c r="T3" s="91"/>
      <c r="U3" s="91"/>
      <c r="V3" s="91"/>
      <c r="W3" s="94"/>
      <c r="X3" s="93"/>
    </row>
    <row r="4" spans="1:24" x14ac:dyDescent="0.3">
      <c r="A4" s="177"/>
      <c r="B4" s="178"/>
      <c r="C4" t="s">
        <v>283</v>
      </c>
      <c r="D4" s="91"/>
      <c r="E4" s="91"/>
      <c r="F4" s="91"/>
      <c r="G4" s="91"/>
      <c r="H4" s="91"/>
      <c r="I4" s="91"/>
      <c r="J4" s="91"/>
      <c r="K4" s="91" t="s">
        <v>253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4"/>
      <c r="X4" s="93"/>
    </row>
    <row r="5" spans="1:24" x14ac:dyDescent="0.3">
      <c r="A5" s="177"/>
      <c r="B5" s="178"/>
      <c r="C5" t="s">
        <v>299</v>
      </c>
      <c r="D5" s="91"/>
      <c r="E5" s="91"/>
      <c r="F5" s="91"/>
      <c r="G5" s="91"/>
      <c r="H5" s="91"/>
      <c r="I5" s="91"/>
      <c r="J5" s="91"/>
      <c r="K5" s="91" t="s">
        <v>257</v>
      </c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4"/>
      <c r="X5" s="93"/>
    </row>
    <row r="6" spans="1:24" x14ac:dyDescent="0.3">
      <c r="A6" s="177"/>
      <c r="B6" s="178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4"/>
      <c r="X6" s="93"/>
    </row>
    <row r="7" spans="1:24" x14ac:dyDescent="0.3">
      <c r="A7" s="177"/>
      <c r="B7" s="178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4"/>
      <c r="X7" s="93"/>
    </row>
    <row r="8" spans="1:24" x14ac:dyDescent="0.3">
      <c r="A8" s="177"/>
      <c r="B8" s="178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4"/>
      <c r="X8" s="93"/>
    </row>
    <row r="9" spans="1:24" x14ac:dyDescent="0.3">
      <c r="A9" s="177"/>
      <c r="B9" s="178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4"/>
      <c r="X9" s="93"/>
    </row>
    <row r="10" spans="1:24" ht="15" thickBot="1" x14ac:dyDescent="0.35">
      <c r="A10" s="179"/>
      <c r="B10" s="180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4"/>
      <c r="X10" s="93"/>
    </row>
    <row r="11" spans="1:24" x14ac:dyDescent="0.3"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4"/>
      <c r="X11" s="93"/>
    </row>
    <row r="12" spans="1:24" x14ac:dyDescent="0.3"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4"/>
      <c r="X12" s="93"/>
    </row>
    <row r="13" spans="1:24" x14ac:dyDescent="0.3"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4"/>
      <c r="X13" s="93"/>
    </row>
    <row r="14" spans="1:24" x14ac:dyDescent="0.3">
      <c r="A14" s="148" t="s">
        <v>3</v>
      </c>
      <c r="B14" s="148"/>
      <c r="C14" t="s">
        <v>271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 t="s">
        <v>253</v>
      </c>
      <c r="U14" s="91"/>
      <c r="V14" s="91"/>
      <c r="W14" s="94"/>
      <c r="X14" s="94">
        <v>2</v>
      </c>
    </row>
    <row r="15" spans="1:24" x14ac:dyDescent="0.3">
      <c r="A15" s="148"/>
      <c r="B15" s="148"/>
      <c r="C15" t="s">
        <v>301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 t="s">
        <v>253</v>
      </c>
      <c r="O15" s="91"/>
      <c r="P15" s="91"/>
      <c r="Q15" s="91" t="s">
        <v>253</v>
      </c>
      <c r="R15" s="91"/>
      <c r="S15" s="91"/>
      <c r="T15" s="91"/>
      <c r="U15" s="91" t="s">
        <v>253</v>
      </c>
      <c r="V15" s="91"/>
      <c r="W15" s="94"/>
      <c r="X15" s="93"/>
    </row>
    <row r="16" spans="1:24" x14ac:dyDescent="0.3">
      <c r="A16" s="148"/>
      <c r="B16" s="148"/>
      <c r="C16" t="s">
        <v>275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 t="s">
        <v>253</v>
      </c>
      <c r="U16" s="91"/>
      <c r="V16" s="91"/>
      <c r="W16" s="94"/>
      <c r="X16" s="93"/>
    </row>
    <row r="17" spans="1:24" x14ac:dyDescent="0.3">
      <c r="A17" s="148"/>
      <c r="B17" s="148"/>
      <c r="C17" t="s">
        <v>276</v>
      </c>
      <c r="D17" s="91"/>
      <c r="E17" s="91"/>
      <c r="F17" s="91"/>
      <c r="G17" s="91"/>
      <c r="H17" s="91"/>
      <c r="I17" s="91"/>
      <c r="J17" s="91"/>
      <c r="K17" s="91"/>
      <c r="L17" s="91" t="s">
        <v>277</v>
      </c>
      <c r="M17" s="91" t="s">
        <v>253</v>
      </c>
      <c r="N17" s="91"/>
      <c r="O17" s="91"/>
      <c r="P17" s="91"/>
      <c r="Q17" s="91"/>
      <c r="R17" s="91"/>
      <c r="S17" s="91"/>
      <c r="T17" s="91"/>
      <c r="U17" s="91"/>
      <c r="V17" s="91"/>
      <c r="W17" s="94"/>
      <c r="X17" s="93"/>
    </row>
    <row r="18" spans="1:24" x14ac:dyDescent="0.3">
      <c r="A18" s="148"/>
      <c r="B18" s="148"/>
      <c r="C18" t="s">
        <v>280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 t="s">
        <v>253</v>
      </c>
      <c r="V18" s="91" t="s">
        <v>257</v>
      </c>
      <c r="W18" s="94"/>
      <c r="X18" s="93"/>
    </row>
    <row r="19" spans="1:24" x14ac:dyDescent="0.3">
      <c r="A19" s="148"/>
      <c r="B19" s="148"/>
      <c r="C19" t="s">
        <v>282</v>
      </c>
      <c r="D19" s="91"/>
      <c r="E19" s="91"/>
      <c r="F19" s="91"/>
      <c r="G19" s="91"/>
      <c r="H19" s="91"/>
      <c r="I19" s="91"/>
      <c r="J19" s="91"/>
      <c r="K19" s="91"/>
      <c r="L19" s="91" t="s">
        <v>253</v>
      </c>
      <c r="M19" s="91"/>
      <c r="N19" s="91" t="s">
        <v>257</v>
      </c>
      <c r="O19" s="91"/>
      <c r="P19" s="91"/>
      <c r="Q19" s="91"/>
      <c r="R19" s="91"/>
      <c r="S19" s="91"/>
      <c r="T19" s="91"/>
      <c r="U19" s="91"/>
      <c r="V19" s="91"/>
      <c r="W19" s="94"/>
      <c r="X19" s="93"/>
    </row>
    <row r="20" spans="1:24" x14ac:dyDescent="0.3">
      <c r="A20" s="148"/>
      <c r="B20" s="148"/>
      <c r="C20" t="s">
        <v>285</v>
      </c>
      <c r="D20" s="91"/>
      <c r="E20" s="91"/>
      <c r="F20" s="91"/>
      <c r="G20" s="91"/>
      <c r="H20" s="91"/>
      <c r="I20" s="91"/>
      <c r="J20" s="91"/>
      <c r="K20" s="91"/>
      <c r="L20" s="91"/>
      <c r="M20" s="91" t="s">
        <v>253</v>
      </c>
      <c r="N20" s="91"/>
      <c r="O20" s="91"/>
      <c r="P20" s="91"/>
      <c r="Q20" s="91"/>
      <c r="R20" s="91"/>
      <c r="S20" s="91"/>
      <c r="T20" s="91"/>
      <c r="U20" s="91"/>
      <c r="V20" s="91"/>
      <c r="W20" s="94"/>
      <c r="X20" s="93"/>
    </row>
    <row r="21" spans="1:24" x14ac:dyDescent="0.3">
      <c r="A21" s="148"/>
      <c r="B21" s="148"/>
      <c r="C21" t="s">
        <v>287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 t="s">
        <v>253</v>
      </c>
      <c r="Q21" s="91"/>
      <c r="R21" s="91" t="s">
        <v>253</v>
      </c>
      <c r="S21" s="91"/>
      <c r="T21" s="91"/>
      <c r="U21" s="91"/>
      <c r="V21" s="91"/>
      <c r="W21" s="94"/>
      <c r="X21" s="93"/>
    </row>
    <row r="22" spans="1:24" x14ac:dyDescent="0.3">
      <c r="A22" s="148"/>
      <c r="B22" s="148"/>
      <c r="C22" t="s">
        <v>298</v>
      </c>
      <c r="D22" s="91"/>
      <c r="E22" s="91"/>
      <c r="F22" s="91"/>
      <c r="G22" s="91"/>
      <c r="H22" s="91"/>
      <c r="I22" s="91"/>
      <c r="J22" s="91" t="s">
        <v>253</v>
      </c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4"/>
      <c r="X22" s="93"/>
    </row>
    <row r="23" spans="1:24" ht="15" thickBot="1" x14ac:dyDescent="0.35">
      <c r="A23" s="181"/>
      <c r="B23" s="181"/>
      <c r="C23" t="s">
        <v>299</v>
      </c>
      <c r="D23" s="91"/>
      <c r="E23" s="91"/>
      <c r="F23" s="91"/>
      <c r="G23" s="91"/>
      <c r="H23" s="91"/>
      <c r="I23" s="91"/>
      <c r="J23" s="91"/>
      <c r="K23" s="91" t="s">
        <v>253</v>
      </c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4"/>
      <c r="X23" s="93"/>
    </row>
    <row r="24" spans="1:24" x14ac:dyDescent="0.3"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4"/>
      <c r="X24" s="93"/>
    </row>
    <row r="25" spans="1:24" x14ac:dyDescent="0.3"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4"/>
      <c r="X25" s="93"/>
    </row>
    <row r="26" spans="1:24" x14ac:dyDescent="0.3"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4"/>
      <c r="X26" s="93"/>
    </row>
    <row r="27" spans="1:24" x14ac:dyDescent="0.3"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4"/>
      <c r="X27" s="93"/>
    </row>
    <row r="28" spans="1:24" x14ac:dyDescent="0.3"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4"/>
      <c r="X28" s="93"/>
    </row>
    <row r="29" spans="1:24" x14ac:dyDescent="0.3">
      <c r="A29" s="148" t="s">
        <v>252</v>
      </c>
      <c r="B29" s="148"/>
      <c r="C29" t="s">
        <v>303</v>
      </c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 t="s">
        <v>304</v>
      </c>
      <c r="S29" s="91"/>
      <c r="T29" s="91"/>
      <c r="U29" s="91"/>
      <c r="V29" s="91"/>
      <c r="W29" s="94"/>
      <c r="X29" s="93"/>
    </row>
    <row r="30" spans="1:24" x14ac:dyDescent="0.3">
      <c r="A30" s="148"/>
      <c r="B30" s="148"/>
      <c r="C30" t="s">
        <v>302</v>
      </c>
      <c r="D30" s="91"/>
      <c r="E30" s="91"/>
      <c r="F30" s="91"/>
      <c r="G30" s="91"/>
      <c r="H30" s="91"/>
      <c r="I30" s="91"/>
      <c r="J30" s="91"/>
      <c r="K30" s="91" t="s">
        <v>253</v>
      </c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4"/>
      <c r="X30" s="93"/>
    </row>
    <row r="31" spans="1:24" x14ac:dyDescent="0.3">
      <c r="A31" s="148"/>
      <c r="B31" s="148"/>
      <c r="C31" t="s">
        <v>301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 t="s">
        <v>253</v>
      </c>
      <c r="U31" s="91"/>
      <c r="V31" s="91"/>
      <c r="W31" s="94"/>
      <c r="X31" s="93"/>
    </row>
    <row r="32" spans="1:24" x14ac:dyDescent="0.3">
      <c r="A32" s="148"/>
      <c r="B32" s="148"/>
      <c r="C32" t="s">
        <v>300</v>
      </c>
      <c r="D32" s="91"/>
      <c r="E32" s="91"/>
      <c r="F32" s="91"/>
      <c r="G32" s="91"/>
      <c r="H32" s="91"/>
      <c r="I32" s="91"/>
      <c r="J32" s="91"/>
      <c r="K32" s="91"/>
      <c r="L32" s="91"/>
      <c r="M32" s="91" t="s">
        <v>253</v>
      </c>
      <c r="N32" s="91"/>
      <c r="O32" s="91"/>
      <c r="P32" s="91"/>
      <c r="Q32" s="91"/>
      <c r="R32" s="91"/>
      <c r="S32" s="91"/>
      <c r="T32" s="91"/>
      <c r="U32" s="91"/>
      <c r="V32" s="91"/>
      <c r="W32" s="94"/>
      <c r="X32" s="93"/>
    </row>
    <row r="33" spans="1:24" x14ac:dyDescent="0.3">
      <c r="A33" s="148"/>
      <c r="B33" s="148"/>
      <c r="C33" t="s">
        <v>299</v>
      </c>
      <c r="D33" s="91"/>
      <c r="E33" s="91"/>
      <c r="F33" s="91"/>
      <c r="G33" s="91"/>
      <c r="H33" s="91"/>
      <c r="I33" s="91"/>
      <c r="J33" s="91"/>
      <c r="K33" s="91" t="s">
        <v>257</v>
      </c>
      <c r="L33" s="91"/>
      <c r="M33" s="91"/>
      <c r="N33" s="91" t="s">
        <v>253</v>
      </c>
      <c r="O33" s="91"/>
      <c r="P33" s="91"/>
      <c r="Q33" s="91"/>
      <c r="R33" s="91"/>
      <c r="S33" s="91"/>
      <c r="T33" s="91"/>
      <c r="U33" s="91"/>
      <c r="V33" s="91"/>
      <c r="W33" s="94"/>
      <c r="X33" s="93"/>
    </row>
    <row r="34" spans="1:24" x14ac:dyDescent="0.3">
      <c r="A34" s="148"/>
      <c r="B34" s="148"/>
      <c r="C34" t="s">
        <v>297</v>
      </c>
      <c r="D34" s="91"/>
      <c r="E34" s="91"/>
      <c r="F34" s="91"/>
      <c r="G34" s="91"/>
      <c r="H34" s="91"/>
      <c r="I34" s="91" t="s">
        <v>253</v>
      </c>
      <c r="J34" s="91"/>
      <c r="K34" s="91" t="s">
        <v>257</v>
      </c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4"/>
      <c r="X34" s="93"/>
    </row>
    <row r="35" spans="1:24" x14ac:dyDescent="0.3">
      <c r="A35" s="148"/>
      <c r="B35" s="148"/>
      <c r="C35" t="s">
        <v>295</v>
      </c>
      <c r="D35" s="91"/>
      <c r="E35" s="91"/>
      <c r="F35" s="91"/>
      <c r="G35" s="91"/>
      <c r="H35" s="91"/>
      <c r="I35" s="91"/>
      <c r="J35" s="91"/>
      <c r="K35" s="91" t="s">
        <v>296</v>
      </c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4"/>
      <c r="X35" s="93"/>
    </row>
    <row r="36" spans="1:24" x14ac:dyDescent="0.3">
      <c r="A36" s="148"/>
      <c r="B36" s="148"/>
      <c r="C36" t="s">
        <v>294</v>
      </c>
      <c r="D36" s="91"/>
      <c r="E36" s="91"/>
      <c r="F36" s="91"/>
      <c r="G36" s="91"/>
      <c r="H36" s="91" t="s">
        <v>257</v>
      </c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4"/>
      <c r="X36" s="93"/>
    </row>
    <row r="37" spans="1:24" x14ac:dyDescent="0.3">
      <c r="A37" s="148"/>
      <c r="B37" s="148"/>
      <c r="C37" t="s">
        <v>293</v>
      </c>
      <c r="D37" s="91"/>
      <c r="E37" s="91"/>
      <c r="F37" s="91"/>
      <c r="G37" s="91"/>
      <c r="H37" s="91"/>
      <c r="I37" s="91"/>
      <c r="J37" s="91" t="s">
        <v>253</v>
      </c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4"/>
      <c r="X37" s="93"/>
    </row>
    <row r="38" spans="1:24" x14ac:dyDescent="0.3">
      <c r="A38" s="148"/>
      <c r="B38" s="148"/>
      <c r="C38" t="s">
        <v>292</v>
      </c>
      <c r="D38" s="91"/>
      <c r="E38" s="91"/>
      <c r="F38" s="91"/>
      <c r="G38" s="91"/>
      <c r="H38" s="91"/>
      <c r="I38" s="91"/>
      <c r="J38" s="91"/>
      <c r="K38" s="91"/>
      <c r="L38" s="91" t="s">
        <v>253</v>
      </c>
      <c r="M38" s="91" t="s">
        <v>253</v>
      </c>
      <c r="N38" s="91"/>
      <c r="O38" s="91"/>
      <c r="P38" s="91" t="s">
        <v>253</v>
      </c>
      <c r="Q38" s="91"/>
      <c r="R38" s="91"/>
      <c r="S38" s="91"/>
      <c r="T38" s="91"/>
      <c r="U38" s="91"/>
      <c r="V38" s="91"/>
      <c r="W38" s="94"/>
      <c r="X38" s="93"/>
    </row>
    <row r="39" spans="1:24" x14ac:dyDescent="0.3">
      <c r="A39" s="148"/>
      <c r="B39" s="148"/>
      <c r="C39" t="s">
        <v>291</v>
      </c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 t="s">
        <v>257</v>
      </c>
      <c r="R39" s="91"/>
      <c r="S39" s="91"/>
      <c r="T39" s="91"/>
      <c r="U39" s="91"/>
      <c r="V39" s="91"/>
      <c r="W39" s="94"/>
      <c r="X39" s="93"/>
    </row>
    <row r="40" spans="1:24" x14ac:dyDescent="0.3">
      <c r="A40" s="148"/>
      <c r="B40" s="148"/>
      <c r="C40" t="s">
        <v>290</v>
      </c>
      <c r="D40" s="91"/>
      <c r="E40" s="91"/>
      <c r="F40" s="91"/>
      <c r="G40" s="91"/>
      <c r="H40" s="91"/>
      <c r="I40" s="91"/>
      <c r="J40" s="91"/>
      <c r="K40" s="91"/>
      <c r="L40" s="91"/>
      <c r="M40" s="91" t="s">
        <v>253</v>
      </c>
      <c r="N40" s="91"/>
      <c r="O40" s="91"/>
      <c r="P40" s="91" t="s">
        <v>253</v>
      </c>
      <c r="Q40" s="91"/>
      <c r="R40" s="91"/>
      <c r="S40" s="91"/>
      <c r="T40" s="91"/>
      <c r="U40" s="91"/>
      <c r="V40" s="91"/>
      <c r="W40" s="94"/>
      <c r="X40" s="93"/>
    </row>
    <row r="41" spans="1:24" x14ac:dyDescent="0.3">
      <c r="A41" s="148"/>
      <c r="B41" s="148"/>
      <c r="C41" t="s">
        <v>289</v>
      </c>
      <c r="D41" s="91"/>
      <c r="E41" s="91"/>
      <c r="F41" s="91"/>
      <c r="G41" s="91"/>
      <c r="H41" s="91"/>
      <c r="I41" s="91"/>
      <c r="J41" s="91"/>
      <c r="K41" s="91"/>
      <c r="L41" s="91" t="s">
        <v>253</v>
      </c>
      <c r="M41" s="91"/>
      <c r="N41" s="91" t="s">
        <v>257</v>
      </c>
      <c r="O41" s="91"/>
      <c r="P41" s="91"/>
      <c r="Q41" s="91"/>
      <c r="R41" s="91"/>
      <c r="S41" s="91"/>
      <c r="T41" s="91"/>
      <c r="U41" s="91"/>
      <c r="V41" s="91"/>
      <c r="W41" s="94"/>
      <c r="X41" s="93"/>
    </row>
    <row r="42" spans="1:24" x14ac:dyDescent="0.3">
      <c r="A42" s="148"/>
      <c r="B42" s="148"/>
      <c r="C42" t="s">
        <v>287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 t="s">
        <v>253</v>
      </c>
      <c r="Q42" s="91"/>
      <c r="R42" s="91" t="s">
        <v>253</v>
      </c>
      <c r="S42" s="91"/>
      <c r="T42" s="91"/>
      <c r="U42" s="91" t="s">
        <v>253</v>
      </c>
      <c r="V42" s="91"/>
      <c r="W42" s="94"/>
      <c r="X42" s="93"/>
    </row>
    <row r="43" spans="1:24" x14ac:dyDescent="0.3">
      <c r="A43" s="148"/>
      <c r="B43" s="148"/>
      <c r="C43" t="s">
        <v>288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 t="s">
        <v>253</v>
      </c>
      <c r="O43" s="91"/>
      <c r="P43" s="91" t="s">
        <v>253</v>
      </c>
      <c r="Q43" s="91"/>
      <c r="R43" s="91"/>
      <c r="S43" s="91"/>
      <c r="T43" s="91"/>
      <c r="U43" s="91"/>
      <c r="V43" s="91"/>
      <c r="W43" s="94"/>
      <c r="X43" s="93"/>
    </row>
    <row r="44" spans="1:24" x14ac:dyDescent="0.3">
      <c r="A44" s="148"/>
      <c r="B44" s="148"/>
      <c r="C44" t="s">
        <v>286</v>
      </c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 t="s">
        <v>253</v>
      </c>
      <c r="O44" s="91"/>
      <c r="P44" s="91"/>
      <c r="Q44" s="91"/>
      <c r="R44" s="91"/>
      <c r="S44" s="91"/>
      <c r="T44" s="91"/>
      <c r="U44" s="91"/>
      <c r="V44" s="91"/>
      <c r="W44" s="94"/>
      <c r="X44" s="93"/>
    </row>
    <row r="45" spans="1:24" x14ac:dyDescent="0.3">
      <c r="A45" s="148"/>
      <c r="B45" s="148"/>
      <c r="C45" t="s">
        <v>284</v>
      </c>
      <c r="D45" s="91"/>
      <c r="E45" s="91"/>
      <c r="F45" s="91"/>
      <c r="G45" s="91"/>
      <c r="H45" s="91"/>
      <c r="I45" s="91"/>
      <c r="J45" s="91"/>
      <c r="K45" s="91"/>
      <c r="L45" s="91" t="s">
        <v>253</v>
      </c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4"/>
      <c r="X45" s="93"/>
    </row>
    <row r="46" spans="1:24" x14ac:dyDescent="0.3">
      <c r="A46" s="148"/>
      <c r="B46" s="148"/>
      <c r="C46" t="s">
        <v>281</v>
      </c>
      <c r="D46" s="91"/>
      <c r="E46" s="91"/>
      <c r="F46" s="91"/>
      <c r="G46" s="91"/>
      <c r="H46" s="91" t="s">
        <v>258</v>
      </c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4"/>
      <c r="X46" s="93"/>
    </row>
    <row r="47" spans="1:24" x14ac:dyDescent="0.3">
      <c r="A47" s="148"/>
      <c r="B47" s="148"/>
      <c r="C47" t="s">
        <v>276</v>
      </c>
      <c r="D47" s="91"/>
      <c r="E47" s="91"/>
      <c r="F47" s="91"/>
      <c r="G47" s="91"/>
      <c r="H47" s="91"/>
      <c r="I47" s="91"/>
      <c r="J47" s="91"/>
      <c r="K47" s="91"/>
      <c r="L47" s="91" t="s">
        <v>253</v>
      </c>
      <c r="M47" s="91" t="s">
        <v>253</v>
      </c>
      <c r="N47" s="91"/>
      <c r="O47" s="91"/>
      <c r="P47" s="91"/>
      <c r="Q47" s="91"/>
      <c r="R47" s="91"/>
      <c r="S47" s="91"/>
      <c r="T47" s="91"/>
      <c r="U47" s="91"/>
      <c r="V47" s="91"/>
      <c r="W47" s="94"/>
      <c r="X47" s="93"/>
    </row>
    <row r="48" spans="1:24" x14ac:dyDescent="0.3">
      <c r="A48" s="148"/>
      <c r="B48" s="148"/>
      <c r="C48" t="s">
        <v>274</v>
      </c>
      <c r="D48" s="91"/>
      <c r="E48" s="91"/>
      <c r="F48" s="91"/>
      <c r="G48" s="91"/>
      <c r="H48" s="91"/>
      <c r="I48" s="91"/>
      <c r="J48" s="91"/>
      <c r="K48" s="91"/>
      <c r="L48" s="91" t="s">
        <v>253</v>
      </c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4"/>
      <c r="X48" s="93"/>
    </row>
    <row r="49" spans="1:24" x14ac:dyDescent="0.3">
      <c r="A49" s="148"/>
      <c r="B49" s="148"/>
      <c r="C49" t="s">
        <v>273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 t="s">
        <v>253</v>
      </c>
      <c r="O49" s="91"/>
      <c r="P49" s="91"/>
      <c r="Q49" s="91"/>
      <c r="R49" s="91"/>
      <c r="S49" s="91"/>
      <c r="T49" s="91"/>
      <c r="U49" s="91"/>
      <c r="V49" s="91"/>
      <c r="W49" s="94"/>
      <c r="X49" s="93"/>
    </row>
    <row r="50" spans="1:24" x14ac:dyDescent="0.3">
      <c r="A50" s="148"/>
      <c r="B50" s="148"/>
      <c r="C50" t="s">
        <v>272</v>
      </c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 t="s">
        <v>253</v>
      </c>
      <c r="O50" s="91"/>
      <c r="P50" s="91"/>
      <c r="Q50" s="91"/>
      <c r="R50" s="91"/>
      <c r="S50" s="91"/>
      <c r="T50" s="91"/>
      <c r="U50" s="91"/>
      <c r="V50" s="91"/>
      <c r="W50" s="94"/>
      <c r="X50" s="93"/>
    </row>
    <row r="51" spans="1:24" x14ac:dyDescent="0.3">
      <c r="A51" s="148"/>
      <c r="B51" s="148"/>
      <c r="C51" t="s">
        <v>271</v>
      </c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 t="s">
        <v>253</v>
      </c>
      <c r="U51" s="91"/>
      <c r="V51" s="91" t="s">
        <v>253</v>
      </c>
      <c r="W51" s="94"/>
      <c r="X51" s="94">
        <v>1</v>
      </c>
    </row>
    <row r="52" spans="1:24" x14ac:dyDescent="0.3">
      <c r="A52" s="148"/>
      <c r="B52" s="148"/>
      <c r="C52" t="s">
        <v>270</v>
      </c>
      <c r="D52" s="91"/>
      <c r="E52" s="91"/>
      <c r="F52" s="91"/>
      <c r="G52" s="91"/>
      <c r="H52" s="91"/>
      <c r="I52" s="91" t="s">
        <v>256</v>
      </c>
      <c r="J52" s="91" t="s">
        <v>253</v>
      </c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4"/>
      <c r="X52" s="93"/>
    </row>
    <row r="53" spans="1:24" x14ac:dyDescent="0.3">
      <c r="A53" s="148"/>
      <c r="B53" s="148"/>
      <c r="C53" t="s">
        <v>269</v>
      </c>
      <c r="D53" s="91"/>
      <c r="E53" s="91"/>
      <c r="F53" s="91"/>
      <c r="G53" s="91"/>
      <c r="H53" s="91"/>
      <c r="I53" s="91"/>
      <c r="J53" s="91"/>
      <c r="K53" s="91"/>
      <c r="L53">
        <v>1</v>
      </c>
      <c r="M53" s="91"/>
      <c r="N53" s="91" t="s">
        <v>253</v>
      </c>
      <c r="O53" s="91"/>
      <c r="P53" s="91"/>
      <c r="Q53" s="91"/>
      <c r="R53" s="91"/>
      <c r="S53" s="91"/>
      <c r="T53" s="91"/>
      <c r="U53" s="91"/>
      <c r="V53" s="91"/>
      <c r="W53" s="94"/>
      <c r="X53" s="93"/>
    </row>
    <row r="54" spans="1:24" x14ac:dyDescent="0.3">
      <c r="A54" s="148"/>
      <c r="B54" s="148"/>
      <c r="C54" t="s">
        <v>268</v>
      </c>
      <c r="D54" s="91"/>
      <c r="E54" s="91"/>
      <c r="F54" s="91"/>
      <c r="G54" s="91"/>
      <c r="H54" s="91"/>
      <c r="I54" s="91"/>
      <c r="J54" s="91"/>
      <c r="K54" s="91"/>
      <c r="M54" s="91"/>
      <c r="N54" s="91"/>
      <c r="O54" s="91" t="s">
        <v>253</v>
      </c>
      <c r="P54" s="91"/>
      <c r="Q54" s="91"/>
      <c r="R54" s="91"/>
      <c r="S54" s="91"/>
      <c r="T54" s="91"/>
      <c r="U54" s="91"/>
      <c r="V54" s="91"/>
      <c r="W54" s="94"/>
      <c r="X54" s="93"/>
    </row>
    <row r="55" spans="1:24" x14ac:dyDescent="0.3">
      <c r="A55" s="148"/>
      <c r="B55" s="148"/>
      <c r="C55" t="s">
        <v>267</v>
      </c>
      <c r="D55" s="91"/>
      <c r="E55" s="91"/>
      <c r="F55" s="91"/>
      <c r="G55" s="91"/>
      <c r="H55" s="91"/>
      <c r="I55" s="91"/>
      <c r="J55" s="91"/>
      <c r="K55" s="91"/>
      <c r="L55" s="91" t="s">
        <v>253</v>
      </c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4"/>
      <c r="X55" s="93"/>
    </row>
    <row r="56" spans="1:24" x14ac:dyDescent="0.3">
      <c r="A56" s="148"/>
      <c r="B56" s="148"/>
      <c r="C56" t="s">
        <v>266</v>
      </c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 t="s">
        <v>253</v>
      </c>
      <c r="Q56" s="91"/>
      <c r="R56" s="91" t="s">
        <v>253</v>
      </c>
      <c r="S56" s="91" t="s">
        <v>253</v>
      </c>
      <c r="T56" s="91"/>
      <c r="U56" s="91"/>
      <c r="V56" s="91"/>
      <c r="W56" s="94"/>
      <c r="X56" s="93"/>
    </row>
    <row r="57" spans="1:24" x14ac:dyDescent="0.3">
      <c r="A57" s="148"/>
      <c r="B57" s="148"/>
      <c r="C57" t="s">
        <v>264</v>
      </c>
      <c r="D57" s="91"/>
      <c r="E57" s="91"/>
      <c r="F57" s="91"/>
      <c r="G57" s="91"/>
      <c r="H57" s="91"/>
      <c r="I57" s="91"/>
      <c r="J57" s="91"/>
      <c r="K57" s="91"/>
      <c r="L57" s="91"/>
      <c r="M57" s="91" t="s">
        <v>265</v>
      </c>
      <c r="N57" s="91"/>
      <c r="O57" s="91"/>
      <c r="P57" s="91"/>
      <c r="Q57" s="91"/>
      <c r="R57" s="91"/>
      <c r="S57" s="91"/>
      <c r="T57" s="91"/>
      <c r="U57" s="91"/>
      <c r="V57" s="91"/>
      <c r="W57" s="94"/>
      <c r="X57" s="93"/>
    </row>
    <row r="58" spans="1:24" x14ac:dyDescent="0.3">
      <c r="A58" s="148"/>
      <c r="B58" s="148"/>
      <c r="C58" t="s">
        <v>262</v>
      </c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 t="s">
        <v>253</v>
      </c>
      <c r="Q58" s="91"/>
      <c r="R58" s="91"/>
      <c r="S58" s="91"/>
      <c r="T58" s="91"/>
      <c r="U58" s="91"/>
      <c r="V58" s="91"/>
      <c r="W58" s="94"/>
      <c r="X58" s="93"/>
    </row>
    <row r="59" spans="1:24" x14ac:dyDescent="0.3">
      <c r="A59" s="148"/>
      <c r="B59" s="148"/>
      <c r="C59" t="s">
        <v>263</v>
      </c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 t="s">
        <v>253</v>
      </c>
      <c r="O59" s="91"/>
      <c r="P59" s="91"/>
      <c r="Q59" s="91"/>
      <c r="R59" s="91"/>
      <c r="S59" s="91"/>
      <c r="T59" s="91"/>
      <c r="U59" s="91"/>
      <c r="V59" s="91"/>
      <c r="W59" s="94"/>
      <c r="X59" s="93"/>
    </row>
    <row r="60" spans="1:24" x14ac:dyDescent="0.3">
      <c r="A60" s="148"/>
      <c r="B60" s="148"/>
      <c r="C60" t="s">
        <v>248</v>
      </c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 t="s">
        <v>253</v>
      </c>
      <c r="R60" s="91"/>
      <c r="S60" s="91"/>
      <c r="T60" s="91"/>
      <c r="U60" s="91"/>
      <c r="V60" s="91"/>
      <c r="W60" s="94"/>
      <c r="X60" s="93"/>
    </row>
    <row r="61" spans="1:24" x14ac:dyDescent="0.3">
      <c r="A61" s="148"/>
      <c r="B61" s="148"/>
      <c r="C61" s="92" t="s">
        <v>250</v>
      </c>
      <c r="D61" s="91"/>
      <c r="E61" s="91"/>
      <c r="F61" s="91"/>
      <c r="G61" s="91"/>
      <c r="H61" s="91"/>
      <c r="I61" s="91"/>
      <c r="J61" s="91"/>
      <c r="P61">
        <v>1</v>
      </c>
      <c r="Q61" s="91"/>
      <c r="R61" s="91"/>
      <c r="S61" s="91"/>
      <c r="T61" s="91"/>
      <c r="U61" s="91"/>
      <c r="V61" s="91"/>
      <c r="W61" s="94"/>
      <c r="X61" s="93"/>
    </row>
    <row r="62" spans="1:24" ht="15" thickBot="1" x14ac:dyDescent="0.35">
      <c r="A62" s="181"/>
      <c r="B62" s="181"/>
      <c r="C62" t="s">
        <v>251</v>
      </c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 t="s">
        <v>253</v>
      </c>
      <c r="Q62" s="91"/>
      <c r="R62" s="91"/>
      <c r="S62" s="91"/>
      <c r="T62" s="91"/>
      <c r="U62" s="91"/>
      <c r="V62" s="91"/>
      <c r="W62" s="91"/>
    </row>
    <row r="63" spans="1:24" x14ac:dyDescent="0.3">
      <c r="A63" s="175" t="s">
        <v>247</v>
      </c>
      <c r="B63" s="176"/>
      <c r="C63" t="s">
        <v>261</v>
      </c>
      <c r="D63" s="91"/>
      <c r="E63" s="91"/>
      <c r="F63" s="91"/>
      <c r="G63" s="91"/>
      <c r="H63" s="91"/>
      <c r="I63" s="91"/>
      <c r="J63" s="91"/>
      <c r="K63" s="91"/>
      <c r="L63" s="91"/>
      <c r="M63" s="91" t="s">
        <v>258</v>
      </c>
      <c r="N63" s="91"/>
      <c r="O63" s="91"/>
      <c r="P63" s="91"/>
      <c r="Q63" s="91"/>
      <c r="R63" s="91"/>
      <c r="S63" s="91"/>
      <c r="T63" s="91"/>
      <c r="U63" s="91"/>
      <c r="V63" s="91"/>
      <c r="W63" s="91"/>
    </row>
    <row r="64" spans="1:24" x14ac:dyDescent="0.3">
      <c r="A64" s="177"/>
      <c r="B64" s="178"/>
      <c r="C64" t="s">
        <v>259</v>
      </c>
      <c r="D64" s="91"/>
      <c r="E64" s="91"/>
      <c r="F64" s="91"/>
      <c r="G64" s="91"/>
      <c r="H64" s="91"/>
      <c r="I64" s="91"/>
      <c r="J64" s="91"/>
      <c r="K64" s="91"/>
      <c r="L64" s="91" t="s">
        <v>256</v>
      </c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</row>
    <row r="65" spans="1:23" x14ac:dyDescent="0.3">
      <c r="A65" s="177"/>
      <c r="B65" s="178"/>
      <c r="C65" t="s">
        <v>262</v>
      </c>
      <c r="D65" s="91"/>
      <c r="E65" s="91"/>
      <c r="F65" s="91"/>
      <c r="G65" s="91"/>
      <c r="H65" s="91"/>
      <c r="I65" s="91"/>
      <c r="J65" s="91"/>
      <c r="K65" s="91"/>
      <c r="L65" s="91" t="s">
        <v>253</v>
      </c>
      <c r="M65" s="91"/>
      <c r="N65" s="91" t="s">
        <v>253</v>
      </c>
      <c r="O65" s="91"/>
      <c r="P65" s="91" t="s">
        <v>253</v>
      </c>
      <c r="Q65" s="91"/>
      <c r="R65" s="91"/>
      <c r="S65" s="91"/>
      <c r="T65" s="91"/>
      <c r="U65" s="91"/>
      <c r="V65" s="91"/>
      <c r="W65" s="91"/>
    </row>
    <row r="66" spans="1:23" x14ac:dyDescent="0.3">
      <c r="A66" s="177"/>
      <c r="B66" s="178"/>
      <c r="C66" s="95" t="s">
        <v>249</v>
      </c>
      <c r="D66" s="96"/>
      <c r="E66" s="96"/>
      <c r="F66" s="96"/>
      <c r="G66" s="96"/>
      <c r="H66" s="96"/>
      <c r="I66" s="96">
        <v>1</v>
      </c>
      <c r="J66" s="96"/>
      <c r="K66" s="96"/>
      <c r="L66" s="96">
        <v>5</v>
      </c>
      <c r="M66" s="96"/>
      <c r="N66" s="96">
        <v>1</v>
      </c>
      <c r="O66" s="96"/>
      <c r="P66" s="96"/>
      <c r="Q66" s="96"/>
      <c r="R66" s="96"/>
      <c r="S66" s="91"/>
      <c r="T66" s="91"/>
      <c r="U66" s="91"/>
      <c r="V66" s="91"/>
      <c r="W66" s="91"/>
    </row>
    <row r="67" spans="1:23" x14ac:dyDescent="0.3">
      <c r="A67" s="177"/>
      <c r="B67" s="178"/>
      <c r="C67" s="92" t="s">
        <v>248</v>
      </c>
      <c r="D67" s="91"/>
      <c r="E67" s="91"/>
      <c r="F67" s="91"/>
      <c r="G67" s="91"/>
      <c r="H67" s="91"/>
      <c r="I67" s="91"/>
      <c r="J67" s="91">
        <v>1</v>
      </c>
      <c r="K67" s="91"/>
      <c r="L67" s="91">
        <v>1</v>
      </c>
      <c r="M67" s="91"/>
      <c r="N67" s="91">
        <v>1</v>
      </c>
      <c r="O67" s="91"/>
      <c r="P67" s="91"/>
      <c r="Q67" s="91">
        <v>1</v>
      </c>
      <c r="R67" s="91"/>
      <c r="S67" s="91"/>
      <c r="T67" s="91"/>
      <c r="U67" s="91"/>
      <c r="V67" s="91"/>
      <c r="W67" s="91"/>
    </row>
    <row r="68" spans="1:23" x14ac:dyDescent="0.3">
      <c r="A68" s="177"/>
      <c r="B68" s="178"/>
      <c r="C68" s="92" t="s">
        <v>250</v>
      </c>
      <c r="D68" s="91"/>
      <c r="E68" s="91"/>
      <c r="F68" s="91"/>
      <c r="G68" s="91"/>
      <c r="H68" s="91"/>
      <c r="I68" s="91"/>
      <c r="J68" s="91"/>
      <c r="K68" s="91" t="s">
        <v>256</v>
      </c>
      <c r="L68" s="91"/>
      <c r="M68" s="91"/>
      <c r="N68" s="91" t="s">
        <v>253</v>
      </c>
      <c r="O68" s="91"/>
      <c r="P68" s="91" t="s">
        <v>253</v>
      </c>
      <c r="Q68" s="91"/>
      <c r="R68" s="91"/>
      <c r="S68" s="91"/>
      <c r="T68" s="91"/>
      <c r="U68" s="91"/>
      <c r="V68" s="91"/>
      <c r="W68" s="91"/>
    </row>
    <row r="69" spans="1:23" ht="15" thickBot="1" x14ac:dyDescent="0.35">
      <c r="A69" s="179"/>
      <c r="B69" s="180"/>
      <c r="C69" s="92" t="s">
        <v>251</v>
      </c>
      <c r="D69" s="91"/>
      <c r="E69" s="91"/>
      <c r="F69" s="91"/>
      <c r="G69" s="91"/>
      <c r="H69" s="91"/>
      <c r="I69" s="91"/>
      <c r="J69" s="91"/>
      <c r="K69" s="91"/>
      <c r="L69" s="91"/>
      <c r="M69" s="91" t="s">
        <v>253</v>
      </c>
      <c r="N69" s="91"/>
      <c r="O69" s="91" t="s">
        <v>253</v>
      </c>
      <c r="P69" s="91"/>
      <c r="Q69" s="91" t="s">
        <v>253</v>
      </c>
      <c r="R69" s="91"/>
      <c r="S69" s="91"/>
      <c r="T69" s="91"/>
      <c r="U69" s="91"/>
      <c r="V69" s="91"/>
      <c r="W69" s="91"/>
    </row>
    <row r="70" spans="1:23" x14ac:dyDescent="0.3">
      <c r="A70" s="175" t="s">
        <v>254</v>
      </c>
      <c r="B70" s="176"/>
      <c r="C70" s="89" t="s">
        <v>249</v>
      </c>
      <c r="D70" s="91"/>
      <c r="E70" s="91"/>
      <c r="F70" s="91"/>
      <c r="G70" s="91"/>
      <c r="H70" s="91"/>
      <c r="I70" s="91"/>
      <c r="J70" s="91"/>
      <c r="K70" s="91" t="s">
        <v>253</v>
      </c>
      <c r="L70" s="91"/>
      <c r="M70" s="91" t="s">
        <v>253</v>
      </c>
      <c r="N70" s="91"/>
      <c r="O70" s="91"/>
      <c r="P70" s="91"/>
      <c r="Q70" s="91"/>
      <c r="R70" s="91"/>
      <c r="S70" s="91"/>
      <c r="T70" s="91"/>
      <c r="U70" s="91"/>
      <c r="V70" s="91"/>
      <c r="W70" s="91"/>
    </row>
    <row r="71" spans="1:23" x14ac:dyDescent="0.3">
      <c r="A71" s="177"/>
      <c r="B71" s="178"/>
      <c r="C71" s="92" t="s">
        <v>248</v>
      </c>
      <c r="D71" s="91"/>
      <c r="E71" s="91"/>
      <c r="F71" s="91"/>
      <c r="G71" s="91"/>
      <c r="H71" s="91"/>
      <c r="I71" s="91"/>
      <c r="J71" s="91" t="s">
        <v>253</v>
      </c>
      <c r="K71" s="91"/>
      <c r="L71" s="91" t="s">
        <v>253</v>
      </c>
      <c r="M71" s="91"/>
      <c r="N71" s="91" t="s">
        <v>253</v>
      </c>
      <c r="O71" s="91"/>
      <c r="P71" s="91"/>
      <c r="Q71" s="91" t="s">
        <v>253</v>
      </c>
      <c r="R71" s="91"/>
      <c r="S71" s="91"/>
      <c r="T71" s="91"/>
      <c r="U71" s="91"/>
      <c r="V71" s="91"/>
      <c r="W71" s="91"/>
    </row>
    <row r="72" spans="1:23" x14ac:dyDescent="0.3">
      <c r="A72" s="177"/>
      <c r="B72" s="178"/>
      <c r="C72" s="92" t="s">
        <v>250</v>
      </c>
      <c r="D72" s="91"/>
      <c r="E72" s="91"/>
      <c r="F72" s="91"/>
      <c r="G72" s="91"/>
      <c r="H72" s="91"/>
      <c r="I72" s="91"/>
      <c r="J72" s="91"/>
      <c r="K72" s="91" t="s">
        <v>253</v>
      </c>
      <c r="L72" s="91"/>
      <c r="M72" s="91" t="s">
        <v>253</v>
      </c>
      <c r="N72" s="91"/>
      <c r="O72" s="91"/>
      <c r="P72" s="91"/>
      <c r="Q72" s="91"/>
      <c r="R72" s="91"/>
      <c r="S72" s="91"/>
      <c r="T72" s="91"/>
      <c r="U72" s="91"/>
      <c r="V72" s="91"/>
      <c r="W72" s="91"/>
    </row>
    <row r="73" spans="1:23" x14ac:dyDescent="0.3">
      <c r="A73" s="177"/>
      <c r="B73" s="178"/>
      <c r="C73" s="92" t="s">
        <v>251</v>
      </c>
      <c r="D73" s="91"/>
      <c r="E73" s="91"/>
      <c r="F73" s="91"/>
      <c r="G73" s="91"/>
      <c r="H73" s="91"/>
      <c r="I73" s="91"/>
      <c r="J73" s="91"/>
      <c r="K73" s="91" t="s">
        <v>253</v>
      </c>
      <c r="L73" s="91"/>
      <c r="M73" s="91" t="s">
        <v>258</v>
      </c>
      <c r="N73" s="91"/>
      <c r="O73" s="91"/>
      <c r="P73" s="91" t="s">
        <v>253</v>
      </c>
      <c r="Q73" s="91"/>
      <c r="R73" s="91"/>
      <c r="S73" s="91"/>
      <c r="T73" s="91"/>
      <c r="U73" s="91"/>
      <c r="V73" s="91"/>
      <c r="W73" s="91"/>
    </row>
    <row r="74" spans="1:23" x14ac:dyDescent="0.3">
      <c r="A74" s="177"/>
      <c r="B74" s="178"/>
      <c r="C74" t="s">
        <v>261</v>
      </c>
      <c r="D74" s="91"/>
      <c r="E74" s="91"/>
      <c r="F74" s="91"/>
      <c r="G74" s="91"/>
      <c r="H74" s="91"/>
      <c r="I74" s="91"/>
      <c r="J74" s="91" t="s">
        <v>257</v>
      </c>
      <c r="K74" s="91"/>
      <c r="L74" s="91"/>
      <c r="M74" s="91" t="s">
        <v>253</v>
      </c>
      <c r="N74" s="91"/>
      <c r="O74" s="91"/>
      <c r="P74" s="91"/>
      <c r="Q74" s="91"/>
      <c r="R74" s="91"/>
      <c r="S74" s="91"/>
      <c r="T74" s="91"/>
      <c r="U74" s="91"/>
      <c r="V74" s="91"/>
      <c r="W74" s="91"/>
    </row>
    <row r="75" spans="1:23" ht="15" thickBot="1" x14ac:dyDescent="0.35">
      <c r="A75" s="179"/>
      <c r="B75" s="180"/>
      <c r="C75" t="s">
        <v>259</v>
      </c>
      <c r="D75" s="91"/>
      <c r="E75" s="91"/>
      <c r="F75" s="91"/>
      <c r="G75" s="91"/>
      <c r="H75" s="91"/>
      <c r="I75" s="91" t="s">
        <v>253</v>
      </c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</row>
    <row r="76" spans="1:23" x14ac:dyDescent="0.3">
      <c r="A76" s="175" t="s">
        <v>255</v>
      </c>
      <c r="B76" s="176"/>
      <c r="C76" s="92" t="s">
        <v>248</v>
      </c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 t="s">
        <v>253</v>
      </c>
      <c r="R76" s="91"/>
      <c r="S76" s="91"/>
      <c r="T76" s="91"/>
      <c r="U76" s="91"/>
      <c r="V76" s="91"/>
      <c r="W76" s="91"/>
    </row>
    <row r="77" spans="1:23" x14ac:dyDescent="0.3">
      <c r="A77" s="177"/>
      <c r="B77" s="178"/>
      <c r="C77" s="89" t="s">
        <v>249</v>
      </c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 t="s">
        <v>253</v>
      </c>
      <c r="R77" s="91"/>
      <c r="S77" s="91"/>
      <c r="T77" s="91"/>
      <c r="U77" s="91"/>
      <c r="V77" s="91"/>
      <c r="W77" s="91"/>
    </row>
    <row r="78" spans="1:23" x14ac:dyDescent="0.3">
      <c r="A78" s="177"/>
      <c r="B78" s="178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</row>
    <row r="79" spans="1:23" ht="15" thickBot="1" x14ac:dyDescent="0.35">
      <c r="A79" s="179"/>
      <c r="B79" s="180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</row>
    <row r="80" spans="1:23" x14ac:dyDescent="0.3"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</row>
    <row r="81" spans="4:23" x14ac:dyDescent="0.3">
      <c r="D81" s="91" t="s">
        <v>260</v>
      </c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</row>
    <row r="82" spans="4:23" x14ac:dyDescent="0.3"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</row>
    <row r="84" spans="4:23" x14ac:dyDescent="0.3">
      <c r="I84" s="91"/>
    </row>
  </sheetData>
  <mergeCells count="6">
    <mergeCell ref="A76:B79"/>
    <mergeCell ref="A3:B10"/>
    <mergeCell ref="A29:B62"/>
    <mergeCell ref="A14:B23"/>
    <mergeCell ref="A63:B69"/>
    <mergeCell ref="A70:B75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948C-57C7-4E14-91E7-C4C3FACECF5F}">
  <dimension ref="A1:X20"/>
  <sheetViews>
    <sheetView workbookViewId="0">
      <selection activeCell="H20" sqref="H20"/>
    </sheetView>
  </sheetViews>
  <sheetFormatPr defaultRowHeight="14.4" x14ac:dyDescent="0.3"/>
  <cols>
    <col min="3" max="3" width="10.21875" customWidth="1"/>
    <col min="24" max="24" width="15.88671875" bestFit="1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ht="15" thickBot="1" x14ac:dyDescent="0.35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A3" s="175" t="s">
        <v>247</v>
      </c>
      <c r="B3" s="176"/>
      <c r="C3" t="s">
        <v>261</v>
      </c>
      <c r="D3" s="91"/>
      <c r="E3" s="91"/>
      <c r="F3" s="91"/>
      <c r="G3" s="91"/>
      <c r="H3" s="91"/>
      <c r="I3" s="91"/>
      <c r="J3" s="91"/>
      <c r="K3" s="91"/>
      <c r="L3" s="91"/>
      <c r="M3" s="91" t="s">
        <v>258</v>
      </c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4" x14ac:dyDescent="0.3">
      <c r="A4" s="177"/>
      <c r="B4" s="178"/>
      <c r="C4" t="s">
        <v>259</v>
      </c>
      <c r="D4" s="91"/>
      <c r="E4" s="91"/>
      <c r="F4" s="91"/>
      <c r="G4" s="91"/>
      <c r="H4" s="91"/>
      <c r="I4" s="91"/>
      <c r="J4" s="91"/>
      <c r="K4" s="91"/>
      <c r="L4" s="91" t="s">
        <v>256</v>
      </c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</row>
    <row r="5" spans="1:24" x14ac:dyDescent="0.3">
      <c r="A5" s="177"/>
      <c r="B5" s="178"/>
      <c r="C5" t="s">
        <v>262</v>
      </c>
      <c r="D5" s="91"/>
      <c r="E5" s="91"/>
      <c r="F5" s="91"/>
      <c r="G5" s="91"/>
      <c r="H5" s="91"/>
      <c r="I5" s="91"/>
      <c r="J5" s="91"/>
      <c r="K5" s="91"/>
      <c r="L5" s="91" t="s">
        <v>253</v>
      </c>
      <c r="M5" s="91"/>
      <c r="N5" s="91" t="s">
        <v>253</v>
      </c>
      <c r="O5" s="91"/>
      <c r="P5" s="91" t="s">
        <v>253</v>
      </c>
      <c r="Q5" s="91"/>
      <c r="R5" s="91"/>
      <c r="S5" s="91"/>
      <c r="T5" s="91"/>
      <c r="U5" s="91"/>
      <c r="V5" s="91"/>
      <c r="W5" s="91"/>
    </row>
    <row r="6" spans="1:24" x14ac:dyDescent="0.3">
      <c r="A6" s="177"/>
      <c r="B6" s="178"/>
      <c r="C6" s="95" t="s">
        <v>249</v>
      </c>
      <c r="D6" s="96"/>
      <c r="E6" s="96"/>
      <c r="F6" s="96"/>
      <c r="G6" s="96"/>
      <c r="H6" s="96"/>
      <c r="I6" s="96">
        <v>1</v>
      </c>
      <c r="J6" s="96"/>
      <c r="K6" s="96"/>
      <c r="L6" s="96">
        <v>5</v>
      </c>
      <c r="M6" s="96"/>
      <c r="N6" s="96">
        <v>1</v>
      </c>
      <c r="O6" s="96"/>
      <c r="P6" s="96"/>
      <c r="Q6" s="96"/>
      <c r="R6" s="96"/>
      <c r="S6" s="91"/>
      <c r="T6" s="91"/>
      <c r="U6" s="91"/>
      <c r="V6" s="91"/>
      <c r="W6" s="91"/>
    </row>
    <row r="7" spans="1:24" x14ac:dyDescent="0.3">
      <c r="A7" s="177"/>
      <c r="B7" s="178"/>
      <c r="C7" s="92" t="s">
        <v>248</v>
      </c>
      <c r="D7" s="91"/>
      <c r="E7" s="91"/>
      <c r="F7" s="91"/>
      <c r="G7" s="91"/>
      <c r="H7" s="91"/>
      <c r="I7" s="91"/>
      <c r="J7" s="91">
        <v>1</v>
      </c>
      <c r="K7" s="91"/>
      <c r="L7" s="91">
        <v>1</v>
      </c>
      <c r="M7" s="91"/>
      <c r="N7" s="91">
        <v>1</v>
      </c>
      <c r="O7" s="91"/>
      <c r="P7" s="91"/>
      <c r="Q7" s="91">
        <v>1</v>
      </c>
      <c r="R7" s="91"/>
      <c r="S7" s="91"/>
      <c r="T7" s="91"/>
      <c r="U7" s="91"/>
      <c r="V7" s="91"/>
      <c r="W7" s="91"/>
    </row>
    <row r="8" spans="1:24" x14ac:dyDescent="0.3">
      <c r="A8" s="177"/>
      <c r="B8" s="178"/>
      <c r="C8" s="92" t="s">
        <v>250</v>
      </c>
      <c r="D8" s="91"/>
      <c r="E8" s="91"/>
      <c r="F8" s="91"/>
      <c r="G8" s="91"/>
      <c r="H8" s="91"/>
      <c r="I8" s="91"/>
      <c r="J8" s="91"/>
      <c r="K8" s="91" t="s">
        <v>256</v>
      </c>
      <c r="L8" s="91"/>
      <c r="M8" s="91"/>
      <c r="N8" s="91" t="s">
        <v>253</v>
      </c>
      <c r="O8" s="91"/>
      <c r="P8" s="91" t="s">
        <v>253</v>
      </c>
      <c r="Q8" s="91"/>
      <c r="R8" s="91"/>
      <c r="S8" s="91"/>
      <c r="T8" s="91"/>
      <c r="U8" s="91"/>
      <c r="V8" s="91"/>
      <c r="W8" s="91"/>
    </row>
    <row r="9" spans="1:24" ht="15" thickBot="1" x14ac:dyDescent="0.35">
      <c r="A9" s="179"/>
      <c r="B9" s="180"/>
      <c r="C9" s="92" t="s">
        <v>251</v>
      </c>
      <c r="D9" s="91"/>
      <c r="E9" s="91"/>
      <c r="F9" s="91"/>
      <c r="G9" s="91"/>
      <c r="H9" s="91"/>
      <c r="I9" s="91"/>
      <c r="J9" s="91"/>
      <c r="K9" s="91"/>
      <c r="L9" s="91"/>
      <c r="M9" s="91" t="s">
        <v>253</v>
      </c>
      <c r="N9" s="91"/>
      <c r="O9" s="91" t="s">
        <v>253</v>
      </c>
      <c r="P9" s="91"/>
      <c r="Q9" s="91" t="s">
        <v>253</v>
      </c>
      <c r="R9" s="91"/>
      <c r="S9" s="91"/>
      <c r="T9" s="91"/>
      <c r="U9" s="91"/>
      <c r="V9" s="91"/>
      <c r="W9" s="91"/>
    </row>
    <row r="10" spans="1:24" x14ac:dyDescent="0.3">
      <c r="A10" s="175" t="s">
        <v>254</v>
      </c>
      <c r="B10" s="176"/>
      <c r="C10" s="89" t="s">
        <v>249</v>
      </c>
      <c r="D10" s="91"/>
      <c r="E10" s="91"/>
      <c r="F10" s="91"/>
      <c r="G10" s="91"/>
      <c r="H10" s="91"/>
      <c r="I10" s="91"/>
      <c r="J10" s="91"/>
      <c r="K10" s="91" t="s">
        <v>253</v>
      </c>
      <c r="L10" s="91"/>
      <c r="M10" s="91" t="s">
        <v>253</v>
      </c>
      <c r="N10" s="91"/>
      <c r="O10" s="91"/>
      <c r="P10" s="91"/>
      <c r="Q10" s="91"/>
      <c r="R10" s="91"/>
      <c r="S10" s="91"/>
      <c r="T10" s="91"/>
      <c r="U10" s="91"/>
      <c r="V10" s="91"/>
      <c r="W10" s="91"/>
    </row>
    <row r="11" spans="1:24" x14ac:dyDescent="0.3">
      <c r="A11" s="177"/>
      <c r="B11" s="178"/>
      <c r="C11" s="92" t="s">
        <v>248</v>
      </c>
      <c r="D11" s="91"/>
      <c r="E11" s="91"/>
      <c r="F11" s="91"/>
      <c r="G11" s="91"/>
      <c r="H11" s="91"/>
      <c r="I11" s="91"/>
      <c r="J11" s="91" t="s">
        <v>253</v>
      </c>
      <c r="K11" s="91"/>
      <c r="L11" s="91" t="s">
        <v>253</v>
      </c>
      <c r="M11" s="91"/>
      <c r="N11" s="91" t="s">
        <v>253</v>
      </c>
      <c r="O11" s="91"/>
      <c r="P11" s="91"/>
      <c r="Q11" s="91" t="s">
        <v>253</v>
      </c>
      <c r="R11" s="91"/>
      <c r="S11" s="91"/>
      <c r="T11" s="91"/>
      <c r="U11" s="91"/>
      <c r="V11" s="91"/>
      <c r="W11" s="91"/>
    </row>
    <row r="12" spans="1:24" x14ac:dyDescent="0.3">
      <c r="A12" s="177"/>
      <c r="B12" s="178"/>
      <c r="C12" s="92" t="s">
        <v>250</v>
      </c>
      <c r="D12" s="91"/>
      <c r="E12" s="91"/>
      <c r="F12" s="91"/>
      <c r="G12" s="91"/>
      <c r="H12" s="91"/>
      <c r="I12" s="91"/>
      <c r="J12" s="91"/>
      <c r="K12" s="91" t="s">
        <v>253</v>
      </c>
      <c r="L12" s="91"/>
      <c r="M12" s="91" t="s">
        <v>253</v>
      </c>
      <c r="N12" s="91"/>
      <c r="O12" s="91"/>
      <c r="P12" s="91"/>
      <c r="Q12" s="91"/>
      <c r="R12" s="91"/>
      <c r="S12" s="91"/>
      <c r="T12" s="91"/>
      <c r="U12" s="91"/>
      <c r="V12" s="91"/>
      <c r="W12" s="91"/>
    </row>
    <row r="13" spans="1:24" x14ac:dyDescent="0.3">
      <c r="A13" s="177"/>
      <c r="B13" s="178"/>
      <c r="C13" s="92" t="s">
        <v>251</v>
      </c>
      <c r="D13" s="91"/>
      <c r="E13" s="91"/>
      <c r="F13" s="91"/>
      <c r="G13" s="91"/>
      <c r="H13" s="91"/>
      <c r="I13" s="91"/>
      <c r="J13" s="91"/>
      <c r="K13" s="91" t="s">
        <v>253</v>
      </c>
      <c r="L13" s="91"/>
      <c r="M13" s="91" t="s">
        <v>258</v>
      </c>
      <c r="N13" s="91"/>
      <c r="O13" s="91"/>
      <c r="P13" s="91" t="s">
        <v>253</v>
      </c>
      <c r="Q13" s="91"/>
      <c r="R13" s="91"/>
      <c r="S13" s="91"/>
      <c r="T13" s="91"/>
      <c r="U13" s="91"/>
      <c r="V13" s="91"/>
      <c r="W13" s="91"/>
    </row>
    <row r="14" spans="1:24" x14ac:dyDescent="0.3">
      <c r="A14" s="177"/>
      <c r="B14" s="178"/>
      <c r="C14" t="s">
        <v>261</v>
      </c>
      <c r="D14" s="91"/>
      <c r="E14" s="91"/>
      <c r="F14" s="91"/>
      <c r="G14" s="91"/>
      <c r="H14" s="91"/>
      <c r="I14" s="91"/>
      <c r="J14" s="91" t="s">
        <v>257</v>
      </c>
      <c r="K14" s="91"/>
      <c r="L14" s="91"/>
      <c r="M14" s="91" t="s">
        <v>253</v>
      </c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 spans="1:24" ht="15" thickBot="1" x14ac:dyDescent="0.35">
      <c r="A15" s="179"/>
      <c r="B15" s="180"/>
      <c r="C15" t="s">
        <v>259</v>
      </c>
      <c r="D15" s="91"/>
      <c r="E15" s="91"/>
      <c r="F15" s="91"/>
      <c r="G15" s="91"/>
      <c r="H15" s="91"/>
      <c r="I15" s="91" t="s">
        <v>253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 spans="1:24" x14ac:dyDescent="0.3"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 spans="4:23" x14ac:dyDescent="0.3"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</row>
    <row r="18" spans="4:23" x14ac:dyDescent="0.3"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</row>
    <row r="20" spans="4:23" x14ac:dyDescent="0.3">
      <c r="I20" s="91"/>
    </row>
  </sheetData>
  <mergeCells count="2">
    <mergeCell ref="A3:B9"/>
    <mergeCell ref="A10:B15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C3D2-54CA-43C7-9161-CB97B79616CF}">
  <dimension ref="A1:D20"/>
  <sheetViews>
    <sheetView workbookViewId="0">
      <selection activeCell="F17" sqref="F17"/>
    </sheetView>
  </sheetViews>
  <sheetFormatPr defaultRowHeight="14.4" x14ac:dyDescent="0.3"/>
  <cols>
    <col min="3" max="3" width="18.77734375" bestFit="1" customWidth="1"/>
  </cols>
  <sheetData>
    <row r="1" spans="1:4" x14ac:dyDescent="0.3">
      <c r="A1" s="65" t="s">
        <v>31</v>
      </c>
      <c r="B1" t="s">
        <v>168</v>
      </c>
      <c r="C1" s="87" t="s">
        <v>177</v>
      </c>
    </row>
    <row r="2" spans="1:4" x14ac:dyDescent="0.3">
      <c r="A2" s="89" t="s">
        <v>245</v>
      </c>
      <c r="B2" t="s">
        <v>305</v>
      </c>
      <c r="C2" s="87" t="s">
        <v>310</v>
      </c>
      <c r="D2" s="90">
        <v>0.54</v>
      </c>
    </row>
    <row r="3" spans="1:4" x14ac:dyDescent="0.3">
      <c r="A3" s="98" t="s">
        <v>246</v>
      </c>
      <c r="B3" s="2" t="s">
        <v>305</v>
      </c>
      <c r="C3" s="88" t="s">
        <v>310</v>
      </c>
      <c r="D3" s="97">
        <v>0.4</v>
      </c>
    </row>
    <row r="4" spans="1:4" x14ac:dyDescent="0.3">
      <c r="A4" s="89" t="s">
        <v>308</v>
      </c>
      <c r="B4" t="s">
        <v>32</v>
      </c>
      <c r="C4" s="87" t="s">
        <v>310</v>
      </c>
      <c r="D4" s="90">
        <v>0.34</v>
      </c>
    </row>
    <row r="5" spans="1:4" x14ac:dyDescent="0.3">
      <c r="A5" s="89" t="s">
        <v>307</v>
      </c>
      <c r="B5" t="s">
        <v>242</v>
      </c>
      <c r="C5" s="87" t="s">
        <v>310</v>
      </c>
      <c r="D5" s="90">
        <v>0.1</v>
      </c>
    </row>
    <row r="6" spans="1:4" x14ac:dyDescent="0.3">
      <c r="A6" s="89" t="s">
        <v>81</v>
      </c>
      <c r="B6" t="s">
        <v>305</v>
      </c>
      <c r="C6" s="87" t="s">
        <v>310</v>
      </c>
      <c r="D6" s="90">
        <v>0.2</v>
      </c>
    </row>
    <row r="7" spans="1:4" x14ac:dyDescent="0.3">
      <c r="A7" s="89" t="s">
        <v>313</v>
      </c>
      <c r="B7" t="s">
        <v>32</v>
      </c>
      <c r="C7" s="87" t="s">
        <v>310</v>
      </c>
      <c r="D7" s="90">
        <v>0.4</v>
      </c>
    </row>
    <row r="8" spans="1:4" x14ac:dyDescent="0.3">
      <c r="A8" s="98" t="s">
        <v>133</v>
      </c>
      <c r="B8" s="2" t="s">
        <v>32</v>
      </c>
      <c r="C8" s="88" t="s">
        <v>319</v>
      </c>
      <c r="D8" s="97">
        <v>0.3</v>
      </c>
    </row>
    <row r="9" spans="1:4" x14ac:dyDescent="0.3">
      <c r="A9" s="89" t="s">
        <v>244</v>
      </c>
      <c r="B9" t="s">
        <v>242</v>
      </c>
      <c r="C9" s="87" t="s">
        <v>315</v>
      </c>
      <c r="D9" s="90">
        <v>0.1</v>
      </c>
    </row>
    <row r="10" spans="1:4" x14ac:dyDescent="0.3">
      <c r="A10" s="89" t="s">
        <v>323</v>
      </c>
      <c r="B10" t="s">
        <v>32</v>
      </c>
      <c r="C10" s="87" t="s">
        <v>324</v>
      </c>
      <c r="D10" s="90">
        <v>0.2</v>
      </c>
    </row>
    <row r="11" spans="1:4" x14ac:dyDescent="0.3">
      <c r="A11" s="89" t="s">
        <v>325</v>
      </c>
      <c r="B11" t="s">
        <v>242</v>
      </c>
      <c r="C11" s="87" t="s">
        <v>319</v>
      </c>
      <c r="D11" s="90">
        <v>0.1</v>
      </c>
    </row>
    <row r="12" spans="1:4" x14ac:dyDescent="0.3">
      <c r="A12" s="89" t="s">
        <v>326</v>
      </c>
      <c r="B12" t="s">
        <v>32</v>
      </c>
      <c r="C12" s="87" t="s">
        <v>327</v>
      </c>
      <c r="D12" s="90">
        <v>0.1</v>
      </c>
    </row>
    <row r="13" spans="1:4" x14ac:dyDescent="0.3">
      <c r="A13" s="89"/>
      <c r="C13" s="87"/>
      <c r="D13" s="90"/>
    </row>
    <row r="14" spans="1:4" x14ac:dyDescent="0.3">
      <c r="A14" s="89"/>
      <c r="C14" s="87"/>
    </row>
    <row r="15" spans="1:4" x14ac:dyDescent="0.3">
      <c r="A15" s="89" t="s">
        <v>320</v>
      </c>
      <c r="B15" t="s">
        <v>32</v>
      </c>
      <c r="C15" s="87" t="s">
        <v>321</v>
      </c>
      <c r="D15" s="90">
        <v>0.27</v>
      </c>
    </row>
    <row r="16" spans="1:4" x14ac:dyDescent="0.3">
      <c r="A16" s="89" t="s">
        <v>311</v>
      </c>
      <c r="B16" t="s">
        <v>309</v>
      </c>
      <c r="C16" s="87" t="s">
        <v>312</v>
      </c>
      <c r="D16" s="90">
        <v>0.27</v>
      </c>
    </row>
    <row r="17" spans="1:4" x14ac:dyDescent="0.3">
      <c r="A17" s="89" t="s">
        <v>306</v>
      </c>
      <c r="B17" t="s">
        <v>32</v>
      </c>
      <c r="C17" s="87" t="s">
        <v>314</v>
      </c>
      <c r="D17">
        <v>0.4</v>
      </c>
    </row>
    <row r="18" spans="1:4" x14ac:dyDescent="0.3">
      <c r="A18" s="98" t="s">
        <v>316</v>
      </c>
      <c r="B18" s="2" t="s">
        <v>32</v>
      </c>
      <c r="C18" s="88" t="s">
        <v>317</v>
      </c>
      <c r="D18" s="2">
        <v>0.67</v>
      </c>
    </row>
    <row r="19" spans="1:4" x14ac:dyDescent="0.3">
      <c r="A19" s="89" t="s">
        <v>241</v>
      </c>
      <c r="B19" t="s">
        <v>305</v>
      </c>
      <c r="C19" s="87" t="s">
        <v>318</v>
      </c>
      <c r="D19">
        <v>0.33</v>
      </c>
    </row>
    <row r="20" spans="1:4" x14ac:dyDescent="0.3">
      <c r="A20" s="89" t="s">
        <v>170</v>
      </c>
      <c r="B20" t="s">
        <v>242</v>
      </c>
      <c r="C20" s="87" t="s">
        <v>322</v>
      </c>
      <c r="D20">
        <v>0.2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BF86-7206-42D6-B8F8-0B93F28BD0C7}">
  <dimension ref="A1:Y121"/>
  <sheetViews>
    <sheetView tabSelected="1" topLeftCell="C1" workbookViewId="0">
      <pane ySplit="1" topLeftCell="A98" activePane="bottomLeft" state="frozen"/>
      <selection pane="bottomLeft" activeCell="L121" sqref="L121:T121"/>
    </sheetView>
  </sheetViews>
  <sheetFormatPr defaultRowHeight="14.4" x14ac:dyDescent="0.3"/>
  <cols>
    <col min="3" max="3" width="13.44140625" bestFit="1" customWidth="1"/>
    <col min="4" max="5" width="10.109375" customWidth="1"/>
    <col min="12" max="12" width="15.6640625" bestFit="1" customWidth="1"/>
    <col min="13" max="13" width="14.109375" bestFit="1" customWidth="1"/>
    <col min="14" max="14" width="12.5546875" bestFit="1" customWidth="1"/>
    <col min="17" max="17" width="15.6640625" bestFit="1" customWidth="1"/>
  </cols>
  <sheetData>
    <row r="1" spans="1:13" x14ac:dyDescent="0.3">
      <c r="D1" s="75">
        <v>0.58333333333333337</v>
      </c>
      <c r="E1" s="75">
        <v>0.625</v>
      </c>
      <c r="F1" s="75">
        <v>0.66666666666666663</v>
      </c>
      <c r="G1" s="75">
        <v>0.70833333333333337</v>
      </c>
      <c r="H1" s="75">
        <v>0.75</v>
      </c>
      <c r="I1" s="75">
        <v>0.79166666666666663</v>
      </c>
      <c r="J1" s="75">
        <v>0.83333333333333337</v>
      </c>
      <c r="K1" s="75">
        <v>0.875</v>
      </c>
      <c r="L1" s="75">
        <v>0.91666666666666663</v>
      </c>
    </row>
    <row r="2" spans="1:13" x14ac:dyDescent="0.3">
      <c r="A2" s="147"/>
      <c r="B2" s="147"/>
      <c r="C2" t="s">
        <v>400</v>
      </c>
      <c r="D2" s="75"/>
      <c r="E2" s="75"/>
      <c r="F2" s="75"/>
      <c r="G2" s="75"/>
      <c r="H2" s="75"/>
      <c r="I2">
        <v>10</v>
      </c>
      <c r="J2" s="75"/>
      <c r="K2" s="75"/>
      <c r="L2" s="75"/>
    </row>
    <row r="3" spans="1:13" x14ac:dyDescent="0.3">
      <c r="A3" s="148" t="s">
        <v>252</v>
      </c>
      <c r="B3" s="148"/>
      <c r="C3" t="s">
        <v>378</v>
      </c>
      <c r="J3">
        <v>8</v>
      </c>
    </row>
    <row r="4" spans="1:13" x14ac:dyDescent="0.3">
      <c r="A4" s="148"/>
      <c r="B4" s="148"/>
      <c r="C4" t="s">
        <v>379</v>
      </c>
      <c r="K4">
        <v>9</v>
      </c>
      <c r="M4" s="125"/>
    </row>
    <row r="5" spans="1:13" x14ac:dyDescent="0.3">
      <c r="A5" s="148"/>
      <c r="B5" s="148"/>
      <c r="C5" t="s">
        <v>339</v>
      </c>
      <c r="I5">
        <v>2</v>
      </c>
      <c r="M5" s="125"/>
    </row>
    <row r="6" spans="1:13" x14ac:dyDescent="0.3">
      <c r="A6" s="148"/>
      <c r="B6" s="148"/>
      <c r="C6" t="s">
        <v>380</v>
      </c>
      <c r="K6">
        <v>1</v>
      </c>
      <c r="M6" s="125"/>
    </row>
    <row r="7" spans="1:13" x14ac:dyDescent="0.3">
      <c r="A7" s="148"/>
      <c r="B7" s="148"/>
      <c r="C7" t="s">
        <v>381</v>
      </c>
      <c r="K7">
        <v>1</v>
      </c>
      <c r="M7" s="125"/>
    </row>
    <row r="8" spans="1:13" x14ac:dyDescent="0.3">
      <c r="A8" s="148"/>
      <c r="B8" s="148"/>
      <c r="C8" t="s">
        <v>382</v>
      </c>
      <c r="L8">
        <v>1</v>
      </c>
      <c r="M8" s="125"/>
    </row>
    <row r="9" spans="1:13" x14ac:dyDescent="0.3">
      <c r="A9" s="148"/>
      <c r="B9" s="148"/>
      <c r="C9" t="s">
        <v>334</v>
      </c>
      <c r="I9">
        <v>2</v>
      </c>
      <c r="M9" s="125"/>
    </row>
    <row r="10" spans="1:13" x14ac:dyDescent="0.3">
      <c r="A10" s="148"/>
      <c r="B10" s="148"/>
      <c r="C10" t="s">
        <v>340</v>
      </c>
      <c r="D10">
        <v>1</v>
      </c>
      <c r="F10">
        <v>1</v>
      </c>
      <c r="M10" s="125"/>
    </row>
    <row r="11" spans="1:13" x14ac:dyDescent="0.3">
      <c r="A11" s="148"/>
      <c r="B11" s="148"/>
      <c r="C11" t="s">
        <v>383</v>
      </c>
      <c r="K11">
        <v>1</v>
      </c>
      <c r="M11" s="125"/>
    </row>
    <row r="12" spans="1:13" x14ac:dyDescent="0.3">
      <c r="A12" s="148"/>
      <c r="B12" s="148"/>
      <c r="C12" t="s">
        <v>384</v>
      </c>
      <c r="K12">
        <v>1</v>
      </c>
      <c r="M12" s="125"/>
    </row>
    <row r="13" spans="1:13" x14ac:dyDescent="0.3">
      <c r="A13" s="148"/>
      <c r="B13" s="148"/>
      <c r="C13" t="s">
        <v>335</v>
      </c>
      <c r="H13">
        <v>1</v>
      </c>
      <c r="M13" s="125"/>
    </row>
    <row r="14" spans="1:13" x14ac:dyDescent="0.3">
      <c r="A14" s="148"/>
      <c r="B14" s="148"/>
      <c r="C14" t="s">
        <v>330</v>
      </c>
      <c r="F14">
        <v>2</v>
      </c>
      <c r="I14">
        <v>1</v>
      </c>
      <c r="M14" s="125"/>
    </row>
    <row r="15" spans="1:13" x14ac:dyDescent="0.3">
      <c r="A15" s="148"/>
      <c r="B15" s="148"/>
      <c r="C15" t="s">
        <v>331</v>
      </c>
      <c r="L15">
        <v>1</v>
      </c>
      <c r="M15" s="125"/>
    </row>
    <row r="16" spans="1:13" x14ac:dyDescent="0.3">
      <c r="A16" s="148"/>
      <c r="B16" s="148"/>
      <c r="C16" t="s">
        <v>344</v>
      </c>
      <c r="E16">
        <v>8</v>
      </c>
      <c r="M16" s="125"/>
    </row>
    <row r="17" spans="1:25" x14ac:dyDescent="0.3">
      <c r="A17" s="148"/>
      <c r="B17" s="148"/>
      <c r="C17" t="s">
        <v>385</v>
      </c>
      <c r="K17">
        <v>1</v>
      </c>
      <c r="M17" s="125"/>
    </row>
    <row r="18" spans="1:25" x14ac:dyDescent="0.3">
      <c r="A18" s="148"/>
      <c r="B18" s="148"/>
      <c r="C18" t="s">
        <v>386</v>
      </c>
      <c r="K18">
        <v>4</v>
      </c>
      <c r="M18" s="125"/>
    </row>
    <row r="19" spans="1:25" x14ac:dyDescent="0.3">
      <c r="A19" s="148"/>
      <c r="B19" s="148"/>
      <c r="C19" t="s">
        <v>387</v>
      </c>
      <c r="I19">
        <v>1</v>
      </c>
      <c r="K19">
        <v>1</v>
      </c>
      <c r="M19" s="125"/>
    </row>
    <row r="20" spans="1:25" x14ac:dyDescent="0.3">
      <c r="A20" s="148"/>
      <c r="B20" s="148"/>
      <c r="C20" t="s">
        <v>388</v>
      </c>
      <c r="G20">
        <v>1</v>
      </c>
      <c r="J20">
        <v>1</v>
      </c>
      <c r="M20" s="125"/>
    </row>
    <row r="21" spans="1:25" x14ac:dyDescent="0.3">
      <c r="A21" s="148"/>
      <c r="B21" s="148"/>
      <c r="C21" t="s">
        <v>389</v>
      </c>
      <c r="E21">
        <v>1</v>
      </c>
      <c r="G21">
        <v>2</v>
      </c>
      <c r="M21" s="125"/>
    </row>
    <row r="22" spans="1:25" x14ac:dyDescent="0.3">
      <c r="A22" s="148"/>
      <c r="B22" s="148"/>
      <c r="C22" t="s">
        <v>390</v>
      </c>
      <c r="E22">
        <v>1</v>
      </c>
      <c r="G22">
        <v>1</v>
      </c>
      <c r="I22">
        <v>1</v>
      </c>
      <c r="M22" s="125"/>
    </row>
    <row r="23" spans="1:25" x14ac:dyDescent="0.3">
      <c r="A23" s="148"/>
      <c r="B23" s="148"/>
      <c r="C23" t="s">
        <v>391</v>
      </c>
      <c r="I23">
        <v>2</v>
      </c>
      <c r="M23" s="125"/>
    </row>
    <row r="24" spans="1:25" x14ac:dyDescent="0.3">
      <c r="A24" s="148"/>
      <c r="B24" s="148"/>
      <c r="C24" t="s">
        <v>343</v>
      </c>
      <c r="K24">
        <v>1</v>
      </c>
      <c r="M24" s="125"/>
    </row>
    <row r="25" spans="1:25" x14ac:dyDescent="0.3">
      <c r="A25" s="148"/>
      <c r="B25" s="148"/>
      <c r="C25" t="s">
        <v>392</v>
      </c>
      <c r="J25">
        <v>1</v>
      </c>
      <c r="K25">
        <v>2</v>
      </c>
      <c r="M25" s="125"/>
    </row>
    <row r="26" spans="1:25" x14ac:dyDescent="0.3">
      <c r="A26" s="148"/>
      <c r="B26" s="148"/>
      <c r="C26" t="s">
        <v>393</v>
      </c>
      <c r="I26">
        <v>1</v>
      </c>
      <c r="M26" s="125"/>
    </row>
    <row r="27" spans="1:25" x14ac:dyDescent="0.3">
      <c r="A27" s="148"/>
      <c r="B27" s="148"/>
      <c r="D27" s="125"/>
      <c r="E27" s="125"/>
      <c r="F27" s="125"/>
      <c r="H27" s="125"/>
      <c r="I27" s="125"/>
      <c r="J27" s="125"/>
      <c r="K27" s="125"/>
      <c r="L27" s="125"/>
      <c r="M27" s="125"/>
    </row>
    <row r="28" spans="1:25" x14ac:dyDescent="0.3">
      <c r="A28" s="148"/>
      <c r="B28" s="148"/>
      <c r="D28" s="125"/>
      <c r="E28" s="125"/>
      <c r="F28" s="125"/>
      <c r="G28" s="125"/>
      <c r="H28" s="125"/>
      <c r="I28" s="125"/>
      <c r="J28" s="125"/>
      <c r="K28" s="125"/>
      <c r="L28" s="125"/>
      <c r="M28" s="125"/>
    </row>
    <row r="29" spans="1:25" x14ac:dyDescent="0.3">
      <c r="A29" s="148"/>
      <c r="B29" s="148"/>
      <c r="D29" s="125"/>
      <c r="E29" s="125"/>
      <c r="F29" s="125"/>
      <c r="G29" s="125"/>
      <c r="H29" s="125"/>
      <c r="I29" s="125"/>
      <c r="J29" s="125"/>
      <c r="K29" s="125"/>
      <c r="L29" s="125"/>
      <c r="M29" s="125"/>
    </row>
    <row r="30" spans="1:25" x14ac:dyDescent="0.3">
      <c r="A30" s="148"/>
      <c r="B30" s="148"/>
      <c r="D30" s="125"/>
      <c r="E30" s="125"/>
      <c r="F30" s="125"/>
      <c r="G30" s="125"/>
      <c r="H30" s="125"/>
      <c r="I30" s="125"/>
      <c r="J30" s="125"/>
      <c r="K30" s="125"/>
      <c r="L30" s="125"/>
      <c r="M30" s="125"/>
    </row>
    <row r="31" spans="1:25" ht="15" thickBot="1" x14ac:dyDescent="0.35">
      <c r="A31" s="181"/>
      <c r="B31" s="181"/>
      <c r="D31" s="75"/>
      <c r="E31" s="75"/>
      <c r="F31" s="75"/>
      <c r="G31" s="75"/>
      <c r="H31" s="75"/>
      <c r="I31" s="75"/>
      <c r="J31" s="75"/>
      <c r="K31" s="75"/>
      <c r="L31" s="75"/>
    </row>
    <row r="32" spans="1:25" x14ac:dyDescent="0.3">
      <c r="A32" s="175" t="s">
        <v>247</v>
      </c>
      <c r="B32" s="176"/>
      <c r="C32" s="3" t="s">
        <v>264</v>
      </c>
      <c r="D32" s="123"/>
      <c r="E32" s="123"/>
      <c r="F32" s="110">
        <v>1</v>
      </c>
      <c r="G32" s="110">
        <v>2</v>
      </c>
      <c r="H32" s="121">
        <v>3</v>
      </c>
      <c r="I32" s="25"/>
      <c r="J32" s="123"/>
      <c r="K32" s="25"/>
      <c r="L32" s="123"/>
      <c r="M32" s="99"/>
      <c r="N32" s="99"/>
      <c r="O32" s="99"/>
      <c r="P32" s="99"/>
      <c r="Q32" s="99"/>
      <c r="R32" s="99"/>
      <c r="S32" s="91"/>
      <c r="T32" s="91"/>
      <c r="U32" s="91"/>
      <c r="V32" s="91"/>
      <c r="W32" s="91"/>
      <c r="X32" s="91"/>
      <c r="Y32" s="91"/>
    </row>
    <row r="33" spans="1:25" x14ac:dyDescent="0.3">
      <c r="A33" s="177"/>
      <c r="B33" s="178"/>
      <c r="C33" t="s">
        <v>259</v>
      </c>
      <c r="D33" s="123"/>
      <c r="E33" s="123"/>
      <c r="F33" s="123"/>
      <c r="G33" s="25">
        <v>3</v>
      </c>
      <c r="H33" s="123"/>
      <c r="I33" s="123"/>
      <c r="J33" s="123"/>
      <c r="K33" s="123"/>
      <c r="L33" s="123"/>
      <c r="M33" s="99"/>
      <c r="N33" s="99"/>
      <c r="O33" s="99"/>
      <c r="P33" s="99"/>
      <c r="Q33" s="99"/>
      <c r="R33" s="99"/>
      <c r="S33" s="91"/>
      <c r="T33" s="91"/>
      <c r="U33" s="91"/>
      <c r="V33" s="91"/>
      <c r="W33" s="91"/>
      <c r="X33" s="91"/>
      <c r="Y33" s="91"/>
    </row>
    <row r="34" spans="1:25" x14ac:dyDescent="0.3">
      <c r="A34" s="177"/>
      <c r="B34" s="178"/>
      <c r="C34" s="14" t="s">
        <v>262</v>
      </c>
      <c r="D34" s="123"/>
      <c r="E34" s="123"/>
      <c r="F34" s="123"/>
      <c r="G34" s="111">
        <v>1</v>
      </c>
      <c r="H34" s="123"/>
      <c r="I34" s="122">
        <v>1</v>
      </c>
      <c r="J34" s="123"/>
      <c r="K34" s="122">
        <v>1</v>
      </c>
      <c r="L34" s="123"/>
      <c r="M34" s="99"/>
      <c r="N34" s="99"/>
      <c r="O34" s="99"/>
      <c r="P34" s="99"/>
      <c r="Q34" s="99"/>
      <c r="R34" s="99"/>
      <c r="S34" s="91"/>
      <c r="T34" s="91"/>
      <c r="U34" s="91"/>
      <c r="V34" s="91"/>
      <c r="W34" s="91"/>
      <c r="X34" s="91"/>
      <c r="Y34" s="91"/>
    </row>
    <row r="35" spans="1:25" x14ac:dyDescent="0.3">
      <c r="A35" s="177"/>
      <c r="B35" s="178"/>
      <c r="C35" s="100" t="s">
        <v>249</v>
      </c>
      <c r="D35" s="126">
        <v>1</v>
      </c>
      <c r="E35" s="123"/>
      <c r="F35" s="123"/>
      <c r="G35" s="127">
        <v>3</v>
      </c>
      <c r="H35" s="123"/>
      <c r="I35" s="127">
        <v>1</v>
      </c>
      <c r="J35" s="123"/>
      <c r="K35" s="123"/>
      <c r="L35" s="123"/>
      <c r="M35" s="99"/>
      <c r="N35" s="99"/>
      <c r="O35" s="99"/>
      <c r="P35" s="99"/>
      <c r="Q35" s="99"/>
      <c r="R35" s="99"/>
      <c r="S35" s="91"/>
      <c r="T35" s="91"/>
      <c r="U35" s="91"/>
      <c r="V35" s="91"/>
      <c r="W35" s="91"/>
      <c r="X35" s="91"/>
      <c r="Y35" s="91"/>
    </row>
    <row r="36" spans="1:25" x14ac:dyDescent="0.3">
      <c r="A36" s="177"/>
      <c r="B36" s="178"/>
      <c r="C36" s="102" t="s">
        <v>248</v>
      </c>
      <c r="D36" s="124"/>
      <c r="E36" s="112">
        <v>1</v>
      </c>
      <c r="F36" s="123"/>
      <c r="G36" s="109">
        <v>1</v>
      </c>
      <c r="H36" s="123"/>
      <c r="I36" s="109">
        <v>1</v>
      </c>
      <c r="J36" s="123"/>
      <c r="K36" s="123"/>
      <c r="L36" s="109">
        <v>1</v>
      </c>
      <c r="M36" s="99"/>
      <c r="N36" s="99"/>
      <c r="O36" s="99"/>
      <c r="P36" s="99"/>
      <c r="Q36" s="99"/>
      <c r="R36" s="99"/>
      <c r="S36" s="91"/>
      <c r="T36" s="91"/>
      <c r="U36" s="91"/>
      <c r="V36" s="91"/>
      <c r="W36" s="91"/>
      <c r="X36" s="91"/>
      <c r="Y36" s="91"/>
    </row>
    <row r="37" spans="1:25" x14ac:dyDescent="0.3">
      <c r="A37" s="177"/>
      <c r="B37" s="178"/>
      <c r="C37" s="101" t="s">
        <v>250</v>
      </c>
      <c r="D37" s="124"/>
      <c r="E37" s="124"/>
      <c r="F37" s="128">
        <v>5</v>
      </c>
      <c r="G37" s="123"/>
      <c r="H37" s="123"/>
      <c r="I37" s="128">
        <v>1</v>
      </c>
      <c r="J37" s="123"/>
      <c r="K37" s="123"/>
      <c r="L37" s="123"/>
      <c r="M37" s="99"/>
      <c r="N37" s="99"/>
      <c r="O37" s="99"/>
      <c r="P37" s="99"/>
      <c r="Q37" s="99"/>
      <c r="R37" s="99"/>
      <c r="S37" s="91"/>
      <c r="T37" s="91"/>
      <c r="U37" s="91"/>
      <c r="V37" s="91"/>
      <c r="W37" s="91"/>
      <c r="X37" s="91"/>
      <c r="Y37" s="91"/>
    </row>
    <row r="38" spans="1:25" x14ac:dyDescent="0.3">
      <c r="A38" s="177"/>
      <c r="B38" s="178"/>
      <c r="C38" s="134" t="s">
        <v>340</v>
      </c>
      <c r="D38" s="135">
        <v>1</v>
      </c>
      <c r="E38" s="124"/>
      <c r="F38" s="136">
        <v>1</v>
      </c>
      <c r="G38" s="123"/>
      <c r="H38" s="25"/>
      <c r="I38" s="123"/>
      <c r="J38" s="25"/>
      <c r="K38" s="123"/>
      <c r="L38" s="25"/>
      <c r="M38" s="99"/>
      <c r="N38" s="99"/>
      <c r="O38" s="99"/>
      <c r="P38" s="99"/>
      <c r="Q38" s="99"/>
      <c r="R38" s="99"/>
      <c r="S38" s="91"/>
      <c r="T38" s="91"/>
      <c r="U38" s="91"/>
      <c r="V38" s="91"/>
      <c r="W38" s="91"/>
      <c r="X38" s="91"/>
      <c r="Y38" s="91"/>
    </row>
    <row r="39" spans="1:25" x14ac:dyDescent="0.3">
      <c r="A39" s="177"/>
      <c r="B39" s="178"/>
      <c r="C39" s="36" t="s">
        <v>328</v>
      </c>
      <c r="D39" s="123"/>
      <c r="E39" s="123"/>
      <c r="F39" s="116">
        <v>1</v>
      </c>
      <c r="G39" s="123"/>
      <c r="H39" s="123"/>
      <c r="I39" s="116">
        <v>1</v>
      </c>
      <c r="J39" s="123"/>
      <c r="K39" s="116">
        <v>1</v>
      </c>
      <c r="L39" s="123"/>
    </row>
    <row r="40" spans="1:25" x14ac:dyDescent="0.3">
      <c r="A40" s="177"/>
      <c r="B40" s="178"/>
      <c r="C40" s="103" t="s">
        <v>329</v>
      </c>
      <c r="D40" s="123"/>
      <c r="E40" s="123"/>
      <c r="F40" s="123"/>
      <c r="G40" s="115">
        <v>1</v>
      </c>
      <c r="H40" s="123"/>
      <c r="I40" s="115">
        <v>1</v>
      </c>
      <c r="J40" s="123"/>
      <c r="K40" s="115">
        <v>1</v>
      </c>
      <c r="L40" s="115">
        <v>1</v>
      </c>
    </row>
    <row r="41" spans="1:25" x14ac:dyDescent="0.3">
      <c r="A41" s="177"/>
      <c r="B41" s="178"/>
      <c r="C41" s="3" t="s">
        <v>341</v>
      </c>
      <c r="D41" s="110">
        <v>7</v>
      </c>
      <c r="E41" s="123"/>
      <c r="F41" s="123"/>
      <c r="G41" s="123"/>
      <c r="H41" s="123"/>
      <c r="I41" s="123"/>
      <c r="J41" s="123"/>
      <c r="K41" s="123"/>
      <c r="L41" s="123"/>
    </row>
    <row r="42" spans="1:25" x14ac:dyDescent="0.3">
      <c r="A42" s="177"/>
      <c r="B42" s="178"/>
      <c r="C42" s="19" t="s">
        <v>345</v>
      </c>
      <c r="D42" s="116">
        <v>2</v>
      </c>
      <c r="E42" s="116">
        <v>1</v>
      </c>
      <c r="F42" s="123"/>
      <c r="G42" s="123"/>
      <c r="H42" s="116">
        <v>1</v>
      </c>
      <c r="I42" s="123"/>
      <c r="J42" s="123"/>
      <c r="K42" s="123"/>
      <c r="L42" s="123"/>
    </row>
    <row r="43" spans="1:25" x14ac:dyDescent="0.3">
      <c r="A43" s="177"/>
      <c r="B43" s="178"/>
      <c r="C43" s="104" t="s">
        <v>330</v>
      </c>
      <c r="D43" s="123"/>
      <c r="E43" s="123"/>
      <c r="F43" s="123"/>
      <c r="G43" s="117">
        <v>1</v>
      </c>
      <c r="H43" s="123"/>
      <c r="I43" s="123"/>
      <c r="J43" s="117">
        <v>1</v>
      </c>
      <c r="K43" s="123"/>
      <c r="L43" s="123"/>
    </row>
    <row r="44" spans="1:25" x14ac:dyDescent="0.3">
      <c r="A44" s="177"/>
      <c r="B44" s="178"/>
      <c r="C44" s="105" t="s">
        <v>331</v>
      </c>
      <c r="D44" s="118">
        <v>3</v>
      </c>
      <c r="E44" s="123"/>
      <c r="F44" s="123"/>
      <c r="G44" s="113">
        <v>7</v>
      </c>
      <c r="H44" s="123"/>
      <c r="I44" s="123"/>
      <c r="J44" s="123"/>
      <c r="K44" s="123"/>
      <c r="L44" s="123"/>
    </row>
    <row r="45" spans="1:25" x14ac:dyDescent="0.3">
      <c r="A45" s="177"/>
      <c r="B45" s="178"/>
      <c r="C45" s="14" t="s">
        <v>344</v>
      </c>
      <c r="D45" s="125"/>
      <c r="E45" s="111">
        <v>1</v>
      </c>
      <c r="F45" s="123"/>
      <c r="G45" s="111">
        <v>1</v>
      </c>
      <c r="H45" s="111">
        <v>1</v>
      </c>
      <c r="I45" s="111">
        <v>1</v>
      </c>
      <c r="J45" s="111">
        <v>1</v>
      </c>
      <c r="K45" s="123"/>
      <c r="L45" s="123"/>
    </row>
    <row r="46" spans="1:25" x14ac:dyDescent="0.3">
      <c r="A46" s="177"/>
      <c r="B46" s="178"/>
      <c r="C46" s="106" t="s">
        <v>332</v>
      </c>
      <c r="D46" s="125"/>
      <c r="E46" s="123"/>
      <c r="F46" s="123"/>
      <c r="G46" s="123"/>
      <c r="H46" s="123"/>
      <c r="I46" s="130">
        <v>1</v>
      </c>
      <c r="J46" s="123"/>
      <c r="K46" s="123"/>
      <c r="L46" s="123"/>
    </row>
    <row r="47" spans="1:25" x14ac:dyDescent="0.3">
      <c r="A47" s="177"/>
      <c r="B47" s="178"/>
      <c r="C47" s="19" t="s">
        <v>333</v>
      </c>
      <c r="D47" s="125"/>
      <c r="E47" s="123"/>
      <c r="F47" s="116">
        <v>4</v>
      </c>
      <c r="G47" s="123"/>
      <c r="H47" s="116">
        <v>3</v>
      </c>
      <c r="I47" s="123"/>
      <c r="J47" s="123"/>
      <c r="K47" s="123"/>
      <c r="L47" s="123"/>
    </row>
    <row r="48" spans="1:25" x14ac:dyDescent="0.3">
      <c r="A48" s="177"/>
      <c r="B48" s="178"/>
      <c r="C48" s="10" t="s">
        <v>334</v>
      </c>
      <c r="D48" s="125"/>
      <c r="E48" s="115">
        <v>1</v>
      </c>
      <c r="F48" s="123"/>
      <c r="G48" s="123"/>
      <c r="H48" s="115">
        <v>1</v>
      </c>
      <c r="I48" s="123"/>
      <c r="J48" s="123"/>
      <c r="K48" s="123"/>
      <c r="L48" s="123"/>
    </row>
    <row r="49" spans="1:15" x14ac:dyDescent="0.3">
      <c r="A49" s="177"/>
      <c r="B49" s="178"/>
      <c r="C49" s="2" t="s">
        <v>335</v>
      </c>
      <c r="D49" s="125"/>
      <c r="E49" s="123"/>
      <c r="F49" s="114">
        <v>1</v>
      </c>
      <c r="G49" s="123"/>
      <c r="H49" s="114">
        <v>1</v>
      </c>
      <c r="I49" s="123"/>
      <c r="J49" s="123"/>
      <c r="K49" s="123"/>
      <c r="L49" s="123"/>
    </row>
    <row r="50" spans="1:15" x14ac:dyDescent="0.3">
      <c r="A50" s="177"/>
      <c r="B50" s="178"/>
      <c r="C50" s="107" t="s">
        <v>336</v>
      </c>
      <c r="D50" s="125"/>
      <c r="E50" s="123"/>
      <c r="F50" s="119">
        <v>1</v>
      </c>
      <c r="G50" s="119">
        <v>1</v>
      </c>
      <c r="H50" s="123"/>
      <c r="I50" s="123"/>
      <c r="J50" s="123"/>
      <c r="K50" s="119">
        <v>1</v>
      </c>
      <c r="L50" s="123"/>
    </row>
    <row r="51" spans="1:15" x14ac:dyDescent="0.3">
      <c r="A51" s="177"/>
      <c r="B51" s="178"/>
      <c r="C51" s="3" t="s">
        <v>343</v>
      </c>
      <c r="D51" s="125"/>
      <c r="E51" s="110">
        <v>1</v>
      </c>
      <c r="F51" s="123"/>
      <c r="G51" s="110">
        <v>1</v>
      </c>
      <c r="H51" s="123"/>
      <c r="I51" s="110">
        <v>2</v>
      </c>
      <c r="J51" s="123"/>
      <c r="K51" s="123"/>
      <c r="L51" s="123"/>
    </row>
    <row r="52" spans="1:15" x14ac:dyDescent="0.3">
      <c r="A52" s="177"/>
      <c r="B52" s="178"/>
      <c r="C52" s="131" t="s">
        <v>337</v>
      </c>
      <c r="D52" s="125"/>
      <c r="E52" s="123"/>
      <c r="F52" s="123"/>
      <c r="G52" s="132">
        <v>1</v>
      </c>
      <c r="H52" s="123"/>
      <c r="I52" s="123"/>
      <c r="J52" s="132">
        <v>1</v>
      </c>
      <c r="K52" s="123"/>
      <c r="L52" s="132">
        <v>1</v>
      </c>
    </row>
    <row r="53" spans="1:15" x14ac:dyDescent="0.3">
      <c r="A53" s="177"/>
      <c r="B53" s="178"/>
      <c r="C53" s="108" t="s">
        <v>338</v>
      </c>
      <c r="D53" s="133">
        <v>1</v>
      </c>
      <c r="E53" s="120">
        <v>1</v>
      </c>
      <c r="F53" s="123"/>
      <c r="G53" s="120">
        <v>1</v>
      </c>
      <c r="H53" s="123"/>
      <c r="I53" s="123"/>
      <c r="J53" s="123"/>
      <c r="K53" s="123"/>
      <c r="L53" s="123"/>
    </row>
    <row r="54" spans="1:15" x14ac:dyDescent="0.3">
      <c r="A54" s="177"/>
      <c r="B54" s="178"/>
      <c r="C54" s="105" t="s">
        <v>342</v>
      </c>
      <c r="D54" s="125"/>
      <c r="E54" s="113">
        <v>5</v>
      </c>
      <c r="F54" s="123"/>
      <c r="G54" s="123"/>
      <c r="H54" s="123"/>
      <c r="I54" s="123"/>
      <c r="J54" s="123"/>
      <c r="K54" s="123"/>
      <c r="L54" s="123"/>
    </row>
    <row r="55" spans="1:15" ht="15" thickBot="1" x14ac:dyDescent="0.35">
      <c r="A55" s="179"/>
      <c r="B55" s="180"/>
      <c r="C55" s="129" t="s">
        <v>339</v>
      </c>
      <c r="D55" s="129">
        <v>3</v>
      </c>
      <c r="K55" s="129">
        <v>1</v>
      </c>
    </row>
    <row r="56" spans="1:15" ht="15" thickBot="1" x14ac:dyDescent="0.35"/>
    <row r="57" spans="1:15" ht="15" thickBot="1" x14ac:dyDescent="0.35">
      <c r="A57" s="137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9"/>
    </row>
    <row r="59" spans="1:15" x14ac:dyDescent="0.3">
      <c r="A59" s="141">
        <v>0.58333333333333337</v>
      </c>
      <c r="B59" s="140" t="s">
        <v>246</v>
      </c>
      <c r="C59" t="s">
        <v>346</v>
      </c>
      <c r="D59">
        <v>0.1</v>
      </c>
      <c r="G59" s="141">
        <v>0.58333333333333337</v>
      </c>
      <c r="H59" t="s">
        <v>157</v>
      </c>
      <c r="I59" t="s">
        <v>102</v>
      </c>
      <c r="J59">
        <v>0.1</v>
      </c>
    </row>
    <row r="60" spans="1:15" x14ac:dyDescent="0.3">
      <c r="B60" s="140" t="s">
        <v>347</v>
      </c>
      <c r="C60" t="s">
        <v>346</v>
      </c>
      <c r="D60">
        <v>0.03</v>
      </c>
    </row>
    <row r="61" spans="1:15" x14ac:dyDescent="0.3">
      <c r="B61" s="140" t="s">
        <v>348</v>
      </c>
      <c r="C61" t="s">
        <v>346</v>
      </c>
      <c r="D61">
        <v>0.01</v>
      </c>
    </row>
    <row r="62" spans="1:15" x14ac:dyDescent="0.3">
      <c r="B62" s="140" t="s">
        <v>349</v>
      </c>
      <c r="C62" t="s">
        <v>350</v>
      </c>
      <c r="D62">
        <v>0.01</v>
      </c>
    </row>
    <row r="63" spans="1:15" x14ac:dyDescent="0.3">
      <c r="B63" t="s">
        <v>157</v>
      </c>
      <c r="C63" t="s">
        <v>102</v>
      </c>
      <c r="D63">
        <v>0.1</v>
      </c>
    </row>
    <row r="64" spans="1:15" x14ac:dyDescent="0.3">
      <c r="B64" t="s">
        <v>351</v>
      </c>
      <c r="C64" t="s">
        <v>102</v>
      </c>
      <c r="D64">
        <v>0.05</v>
      </c>
    </row>
    <row r="65" spans="1:15" x14ac:dyDescent="0.3">
      <c r="A65" s="142">
        <v>0.66666666666666663</v>
      </c>
      <c r="B65" s="140" t="s">
        <v>352</v>
      </c>
      <c r="C65" t="s">
        <v>102</v>
      </c>
      <c r="D65">
        <v>0.2</v>
      </c>
      <c r="G65" s="142">
        <v>0.66666666666666663</v>
      </c>
      <c r="H65" s="140" t="s">
        <v>352</v>
      </c>
      <c r="I65" t="s">
        <v>102</v>
      </c>
      <c r="J65">
        <v>0.2</v>
      </c>
    </row>
    <row r="66" spans="1:15" x14ac:dyDescent="0.3">
      <c r="B66" s="144" t="s">
        <v>353</v>
      </c>
      <c r="C66" s="2" t="s">
        <v>102</v>
      </c>
      <c r="D66" s="2">
        <v>0.1</v>
      </c>
      <c r="H66" s="144" t="s">
        <v>353</v>
      </c>
      <c r="I66" s="2" t="s">
        <v>79</v>
      </c>
      <c r="J66" s="2">
        <v>0.5</v>
      </c>
    </row>
    <row r="67" spans="1:15" x14ac:dyDescent="0.3">
      <c r="B67" s="140" t="s">
        <v>354</v>
      </c>
      <c r="C67" t="s">
        <v>346</v>
      </c>
      <c r="D67">
        <v>0.03</v>
      </c>
      <c r="H67" s="140" t="s">
        <v>80</v>
      </c>
      <c r="I67" t="s">
        <v>79</v>
      </c>
      <c r="J67">
        <v>0.4</v>
      </c>
      <c r="L67" s="143">
        <v>0.5625</v>
      </c>
      <c r="M67" s="19" t="s">
        <v>368</v>
      </c>
      <c r="N67" s="19" t="s">
        <v>369</v>
      </c>
      <c r="O67" s="19">
        <v>0.16</v>
      </c>
    </row>
    <row r="68" spans="1:15" x14ac:dyDescent="0.3">
      <c r="B68" s="140" t="s">
        <v>355</v>
      </c>
      <c r="C68" t="s">
        <v>356</v>
      </c>
      <c r="D68">
        <v>0.02</v>
      </c>
      <c r="L68" s="143">
        <v>0.79166666666666663</v>
      </c>
      <c r="M68" s="19" t="s">
        <v>189</v>
      </c>
      <c r="N68" s="19" t="s">
        <v>79</v>
      </c>
      <c r="O68" s="19">
        <v>0.3</v>
      </c>
    </row>
    <row r="69" spans="1:15" x14ac:dyDescent="0.3">
      <c r="B69" s="140" t="s">
        <v>357</v>
      </c>
      <c r="C69" t="s">
        <v>356</v>
      </c>
      <c r="D69">
        <v>0.03</v>
      </c>
      <c r="L69" s="19"/>
      <c r="M69" s="19" t="s">
        <v>69</v>
      </c>
      <c r="N69" s="19" t="s">
        <v>363</v>
      </c>
      <c r="O69" s="19">
        <v>0.27</v>
      </c>
    </row>
    <row r="70" spans="1:15" x14ac:dyDescent="0.3">
      <c r="B70" s="140" t="s">
        <v>358</v>
      </c>
      <c r="C70" t="s">
        <v>346</v>
      </c>
      <c r="D70">
        <v>0.01</v>
      </c>
      <c r="L70" s="143">
        <v>0.71875</v>
      </c>
      <c r="M70" s="19" t="s">
        <v>63</v>
      </c>
      <c r="N70" s="19" t="s">
        <v>79</v>
      </c>
      <c r="O70" s="19">
        <v>0.3</v>
      </c>
    </row>
    <row r="71" spans="1:15" x14ac:dyDescent="0.3">
      <c r="B71" s="140" t="s">
        <v>359</v>
      </c>
      <c r="C71" t="s">
        <v>32</v>
      </c>
      <c r="D71">
        <v>0.2</v>
      </c>
      <c r="L71" s="19"/>
      <c r="M71" s="19"/>
      <c r="N71" s="19"/>
      <c r="O71" s="19"/>
    </row>
    <row r="72" spans="1:15" x14ac:dyDescent="0.3">
      <c r="A72" s="75">
        <v>0.8125</v>
      </c>
      <c r="B72" s="140" t="s">
        <v>245</v>
      </c>
      <c r="C72" t="s">
        <v>356</v>
      </c>
      <c r="D72">
        <v>0.04</v>
      </c>
      <c r="L72" s="19" t="s">
        <v>364</v>
      </c>
      <c r="M72" s="19" t="s">
        <v>365</v>
      </c>
      <c r="N72" s="19" t="s">
        <v>32</v>
      </c>
      <c r="O72" s="19">
        <v>0.25</v>
      </c>
    </row>
    <row r="73" spans="1:15" x14ac:dyDescent="0.3">
      <c r="B73" s="140" t="s">
        <v>128</v>
      </c>
      <c r="C73" t="s">
        <v>346</v>
      </c>
      <c r="D73">
        <v>0.03</v>
      </c>
      <c r="L73" s="19" t="s">
        <v>366</v>
      </c>
      <c r="M73" s="19" t="s">
        <v>367</v>
      </c>
      <c r="N73" s="19" t="s">
        <v>242</v>
      </c>
      <c r="O73" s="19">
        <v>0.15</v>
      </c>
    </row>
    <row r="74" spans="1:15" x14ac:dyDescent="0.3">
      <c r="B74" s="140" t="s">
        <v>362</v>
      </c>
      <c r="C74" t="s">
        <v>102</v>
      </c>
      <c r="D74">
        <v>0.1</v>
      </c>
      <c r="L74" s="19"/>
      <c r="M74" s="19"/>
      <c r="N74" s="19"/>
      <c r="O74" s="19"/>
    </row>
    <row r="75" spans="1:15" x14ac:dyDescent="0.3">
      <c r="A75" s="75">
        <v>0.91666666666666663</v>
      </c>
      <c r="B75" s="140" t="s">
        <v>360</v>
      </c>
      <c r="C75" t="s">
        <v>361</v>
      </c>
      <c r="D75">
        <v>0.2</v>
      </c>
      <c r="G75" s="75">
        <v>0.91666666666666663</v>
      </c>
      <c r="H75" s="140" t="s">
        <v>360</v>
      </c>
      <c r="I75" t="s">
        <v>361</v>
      </c>
      <c r="J75">
        <v>0.2</v>
      </c>
    </row>
    <row r="76" spans="1:15" s="2" customFormat="1" x14ac:dyDescent="0.3">
      <c r="B76" s="144"/>
    </row>
    <row r="77" spans="1:15" s="2" customFormat="1" x14ac:dyDescent="0.3">
      <c r="B77" s="144"/>
    </row>
    <row r="78" spans="1:15" x14ac:dyDescent="0.3">
      <c r="B78" s="140"/>
    </row>
    <row r="79" spans="1:15" x14ac:dyDescent="0.3">
      <c r="B79" s="140"/>
    </row>
    <row r="80" spans="1:15" x14ac:dyDescent="0.3">
      <c r="B80" s="140" t="s">
        <v>399</v>
      </c>
      <c r="C80" t="s">
        <v>76</v>
      </c>
    </row>
    <row r="81" spans="2:20" x14ac:dyDescent="0.3">
      <c r="B81" s="140" t="s">
        <v>399</v>
      </c>
      <c r="C81" t="s">
        <v>59</v>
      </c>
      <c r="L81" s="145">
        <v>45688.71875</v>
      </c>
      <c r="M81" t="s">
        <v>370</v>
      </c>
      <c r="N81" t="s">
        <v>32</v>
      </c>
      <c r="O81">
        <v>0.2</v>
      </c>
    </row>
    <row r="82" spans="2:20" x14ac:dyDescent="0.3">
      <c r="B82" s="140" t="s">
        <v>399</v>
      </c>
      <c r="C82" t="s">
        <v>157</v>
      </c>
      <c r="L82" s="145">
        <v>45689</v>
      </c>
      <c r="M82" s="146" t="s">
        <v>63</v>
      </c>
      <c r="N82" s="146" t="s">
        <v>32</v>
      </c>
      <c r="O82" s="146">
        <v>0.3</v>
      </c>
    </row>
    <row r="83" spans="2:20" x14ac:dyDescent="0.3">
      <c r="B83" s="140" t="s">
        <v>399</v>
      </c>
      <c r="C83" t="s">
        <v>365</v>
      </c>
      <c r="L83" s="145">
        <v>45689</v>
      </c>
      <c r="M83" t="s">
        <v>371</v>
      </c>
      <c r="N83" t="s">
        <v>32</v>
      </c>
      <c r="O83">
        <v>0.3</v>
      </c>
      <c r="Q83" s="145">
        <v>45692.840277777781</v>
      </c>
      <c r="R83" t="s">
        <v>398</v>
      </c>
      <c r="S83" t="s">
        <v>32</v>
      </c>
      <c r="T83">
        <v>0.5</v>
      </c>
    </row>
    <row r="84" spans="2:20" x14ac:dyDescent="0.3">
      <c r="B84" s="140" t="s">
        <v>399</v>
      </c>
      <c r="C84" t="s">
        <v>63</v>
      </c>
      <c r="L84" s="145">
        <v>45689.645833333336</v>
      </c>
      <c r="M84" t="s">
        <v>372</v>
      </c>
      <c r="N84" t="s">
        <v>32</v>
      </c>
      <c r="O84">
        <v>0.7</v>
      </c>
      <c r="Q84" s="145">
        <v>45692.923611111109</v>
      </c>
      <c r="R84" t="s">
        <v>397</v>
      </c>
      <c r="S84" t="s">
        <v>32</v>
      </c>
      <c r="T84">
        <v>0.1</v>
      </c>
    </row>
    <row r="85" spans="2:20" x14ac:dyDescent="0.3">
      <c r="B85" s="140" t="s">
        <v>399</v>
      </c>
      <c r="C85" t="s">
        <v>398</v>
      </c>
      <c r="L85" s="145">
        <v>45689.645833333336</v>
      </c>
      <c r="M85" t="s">
        <v>373</v>
      </c>
      <c r="N85" t="s">
        <v>374</v>
      </c>
      <c r="O85">
        <v>0.15</v>
      </c>
      <c r="Q85" s="145">
        <v>45694.875</v>
      </c>
      <c r="R85" t="s">
        <v>396</v>
      </c>
      <c r="S85" t="s">
        <v>32</v>
      </c>
      <c r="T85">
        <v>0.1</v>
      </c>
    </row>
    <row r="86" spans="2:20" x14ac:dyDescent="0.3">
      <c r="B86" s="140" t="s">
        <v>399</v>
      </c>
      <c r="C86" t="s">
        <v>397</v>
      </c>
      <c r="L86" s="145">
        <v>45690.645833333336</v>
      </c>
      <c r="M86" t="s">
        <v>59</v>
      </c>
      <c r="N86" t="s">
        <v>377</v>
      </c>
      <c r="O86">
        <v>0.3</v>
      </c>
      <c r="Q86" s="145">
        <v>45697.75</v>
      </c>
      <c r="R86" t="s">
        <v>238</v>
      </c>
      <c r="S86" t="s">
        <v>32</v>
      </c>
      <c r="T86">
        <v>0.1</v>
      </c>
    </row>
    <row r="87" spans="2:20" x14ac:dyDescent="0.3">
      <c r="B87" s="140" t="s">
        <v>399</v>
      </c>
      <c r="C87" t="s">
        <v>190</v>
      </c>
      <c r="L87" s="145">
        <v>45690.791666666664</v>
      </c>
      <c r="M87" t="s">
        <v>120</v>
      </c>
      <c r="N87" t="s">
        <v>374</v>
      </c>
      <c r="O87">
        <v>0.2</v>
      </c>
      <c r="Q87" s="145">
        <v>45692.9375</v>
      </c>
      <c r="R87" t="s">
        <v>62</v>
      </c>
      <c r="S87" t="s">
        <v>102</v>
      </c>
      <c r="T87">
        <v>0.2</v>
      </c>
    </row>
    <row r="88" spans="2:20" x14ac:dyDescent="0.3">
      <c r="B88" s="140"/>
      <c r="L88" s="145">
        <v>45690.833333333336</v>
      </c>
      <c r="M88" t="s">
        <v>375</v>
      </c>
      <c r="N88" t="s">
        <v>32</v>
      </c>
      <c r="O88">
        <v>0.1</v>
      </c>
      <c r="Q88" s="145">
        <v>45694.625</v>
      </c>
      <c r="R88" t="s">
        <v>76</v>
      </c>
      <c r="S88" t="s">
        <v>124</v>
      </c>
      <c r="T88">
        <v>0.2</v>
      </c>
    </row>
    <row r="89" spans="2:20" x14ac:dyDescent="0.3">
      <c r="B89" s="140"/>
      <c r="L89" s="145">
        <v>45690.625</v>
      </c>
      <c r="M89" s="146" t="s">
        <v>376</v>
      </c>
      <c r="N89" s="146" t="s">
        <v>124</v>
      </c>
      <c r="O89" s="146">
        <v>0.2</v>
      </c>
      <c r="Q89" s="145">
        <v>45696.625</v>
      </c>
      <c r="R89" t="s">
        <v>244</v>
      </c>
      <c r="S89" t="s">
        <v>102</v>
      </c>
      <c r="T89">
        <v>0.2</v>
      </c>
    </row>
    <row r="90" spans="2:20" x14ac:dyDescent="0.3">
      <c r="B90" s="140"/>
      <c r="L90" s="145">
        <v>45690.604166666664</v>
      </c>
      <c r="M90" t="s">
        <v>157</v>
      </c>
      <c r="N90" t="s">
        <v>102</v>
      </c>
      <c r="O90">
        <v>0.2</v>
      </c>
      <c r="Q90" s="145">
        <v>45696.625</v>
      </c>
      <c r="R90" t="s">
        <v>394</v>
      </c>
      <c r="S90" t="s">
        <v>102</v>
      </c>
      <c r="T90">
        <v>0.1</v>
      </c>
    </row>
    <row r="91" spans="2:20" x14ac:dyDescent="0.3">
      <c r="B91" s="140"/>
      <c r="L91" s="145">
        <v>45690.770833333336</v>
      </c>
      <c r="M91" t="s">
        <v>190</v>
      </c>
      <c r="N91" t="s">
        <v>79</v>
      </c>
      <c r="O91">
        <v>0.2</v>
      </c>
      <c r="Q91" s="145">
        <v>45696.770833333336</v>
      </c>
      <c r="R91" t="s">
        <v>67</v>
      </c>
      <c r="S91" t="s">
        <v>102</v>
      </c>
      <c r="T91">
        <v>0.1</v>
      </c>
    </row>
    <row r="92" spans="2:20" x14ac:dyDescent="0.3">
      <c r="B92" s="140"/>
      <c r="L92" s="145">
        <v>45689.916666666664</v>
      </c>
      <c r="M92" t="s">
        <v>311</v>
      </c>
      <c r="N92" t="s">
        <v>32</v>
      </c>
      <c r="O92">
        <v>0.4</v>
      </c>
      <c r="Q92" s="145">
        <v>45696.916666666664</v>
      </c>
      <c r="R92" t="s">
        <v>311</v>
      </c>
      <c r="S92" t="s">
        <v>32</v>
      </c>
      <c r="T92">
        <v>0.4</v>
      </c>
    </row>
    <row r="93" spans="2:20" x14ac:dyDescent="0.3">
      <c r="B93" s="140"/>
      <c r="Q93" s="145">
        <v>45697.604166666664</v>
      </c>
      <c r="R93" t="s">
        <v>54</v>
      </c>
      <c r="S93" t="s">
        <v>102</v>
      </c>
      <c r="T93">
        <v>0.2</v>
      </c>
    </row>
    <row r="94" spans="2:20" x14ac:dyDescent="0.3">
      <c r="B94" s="140"/>
      <c r="Q94" s="145">
        <v>45696.822916666664</v>
      </c>
      <c r="R94" t="s">
        <v>53</v>
      </c>
      <c r="S94" t="s">
        <v>32</v>
      </c>
      <c r="T94">
        <v>0.1</v>
      </c>
    </row>
    <row r="95" spans="2:20" x14ac:dyDescent="0.3">
      <c r="B95" s="140"/>
      <c r="Q95" s="145">
        <v>45696.833333333336</v>
      </c>
      <c r="R95" t="s">
        <v>395</v>
      </c>
      <c r="S95" t="s">
        <v>32</v>
      </c>
      <c r="T95">
        <v>0.2</v>
      </c>
    </row>
    <row r="96" spans="2:20" x14ac:dyDescent="0.3">
      <c r="B96" s="140"/>
    </row>
    <row r="97" spans="2:15" x14ac:dyDescent="0.3">
      <c r="B97" s="140"/>
    </row>
    <row r="98" spans="2:15" x14ac:dyDescent="0.3">
      <c r="B98" s="140"/>
    </row>
    <row r="99" spans="2:15" x14ac:dyDescent="0.3">
      <c r="B99" s="140"/>
    </row>
    <row r="100" spans="2:15" x14ac:dyDescent="0.3">
      <c r="B100" s="140"/>
    </row>
    <row r="101" spans="2:15" x14ac:dyDescent="0.3">
      <c r="B101" s="140"/>
    </row>
    <row r="102" spans="2:15" x14ac:dyDescent="0.3">
      <c r="B102" s="140"/>
    </row>
    <row r="103" spans="2:15" x14ac:dyDescent="0.3">
      <c r="B103" s="140"/>
    </row>
    <row r="104" spans="2:15" x14ac:dyDescent="0.3">
      <c r="B104" s="140"/>
    </row>
    <row r="105" spans="2:15" x14ac:dyDescent="0.3">
      <c r="B105" s="140"/>
    </row>
    <row r="106" spans="2:15" x14ac:dyDescent="0.3">
      <c r="B106" s="140"/>
    </row>
    <row r="107" spans="2:15" x14ac:dyDescent="0.3">
      <c r="B107" s="140"/>
    </row>
    <row r="108" spans="2:15" x14ac:dyDescent="0.3">
      <c r="B108" s="140"/>
    </row>
    <row r="109" spans="2:15" x14ac:dyDescent="0.3">
      <c r="B109" s="140"/>
    </row>
    <row r="110" spans="2:15" x14ac:dyDescent="0.3">
      <c r="B110" s="140"/>
    </row>
    <row r="111" spans="2:15" x14ac:dyDescent="0.3">
      <c r="B111" s="140"/>
    </row>
    <row r="112" spans="2:15" x14ac:dyDescent="0.3">
      <c r="B112" s="140"/>
      <c r="L112" s="145">
        <v>45694.875</v>
      </c>
      <c r="M112" t="s">
        <v>396</v>
      </c>
      <c r="N112" t="s">
        <v>32</v>
      </c>
      <c r="O112">
        <v>0.1</v>
      </c>
    </row>
    <row r="113" spans="2:20" x14ac:dyDescent="0.3">
      <c r="B113" s="140"/>
      <c r="L113" s="145">
        <v>45694.625</v>
      </c>
      <c r="M113" t="s">
        <v>76</v>
      </c>
      <c r="N113" t="s">
        <v>127</v>
      </c>
      <c r="O113">
        <v>0.4</v>
      </c>
    </row>
    <row r="114" spans="2:20" x14ac:dyDescent="0.3">
      <c r="B114" s="140"/>
      <c r="L114" s="145">
        <v>45696.625</v>
      </c>
      <c r="M114" t="s">
        <v>244</v>
      </c>
      <c r="N114" t="s">
        <v>102</v>
      </c>
      <c r="O114">
        <v>0.2</v>
      </c>
    </row>
    <row r="115" spans="2:20" x14ac:dyDescent="0.3">
      <c r="B115" s="140"/>
      <c r="L115" s="145">
        <v>45696.625</v>
      </c>
      <c r="M115" t="s">
        <v>394</v>
      </c>
      <c r="N115" t="s">
        <v>102</v>
      </c>
      <c r="O115">
        <v>0.1</v>
      </c>
    </row>
    <row r="116" spans="2:20" x14ac:dyDescent="0.3">
      <c r="B116" s="140"/>
      <c r="L116" s="145">
        <v>45696.770833333336</v>
      </c>
      <c r="M116" t="s">
        <v>67</v>
      </c>
      <c r="N116" t="s">
        <v>102</v>
      </c>
      <c r="O116">
        <v>0.1</v>
      </c>
    </row>
    <row r="117" spans="2:20" x14ac:dyDescent="0.3">
      <c r="B117" s="140"/>
      <c r="L117" s="145">
        <v>45696.916666666664</v>
      </c>
      <c r="M117" t="s">
        <v>311</v>
      </c>
      <c r="N117" t="s">
        <v>32</v>
      </c>
      <c r="O117">
        <v>0.4</v>
      </c>
    </row>
    <row r="118" spans="2:20" x14ac:dyDescent="0.3">
      <c r="B118" s="140"/>
      <c r="L118" s="145">
        <v>45696.822916666664</v>
      </c>
      <c r="M118" t="s">
        <v>53</v>
      </c>
      <c r="N118" t="s">
        <v>32</v>
      </c>
      <c r="O118">
        <v>0.1</v>
      </c>
    </row>
    <row r="119" spans="2:20" x14ac:dyDescent="0.3">
      <c r="B119" s="140"/>
      <c r="L119" s="145">
        <v>45696.833333333336</v>
      </c>
      <c r="M119" t="s">
        <v>395</v>
      </c>
      <c r="N119" t="s">
        <v>32</v>
      </c>
      <c r="O119">
        <v>0.2</v>
      </c>
    </row>
    <row r="120" spans="2:20" x14ac:dyDescent="0.3">
      <c r="L120" s="145">
        <v>45697.604166666664</v>
      </c>
      <c r="M120" t="s">
        <v>54</v>
      </c>
      <c r="N120" t="s">
        <v>102</v>
      </c>
      <c r="O120">
        <v>0.2</v>
      </c>
    </row>
    <row r="121" spans="2:20" x14ac:dyDescent="0.3">
      <c r="L121" s="145">
        <v>45732.8125</v>
      </c>
      <c r="M121" t="s">
        <v>401</v>
      </c>
      <c r="N121" t="s">
        <v>102</v>
      </c>
      <c r="O121">
        <v>0.1</v>
      </c>
      <c r="P121" s="147" t="s">
        <v>402</v>
      </c>
      <c r="Q121" s="147"/>
      <c r="R121" s="147"/>
      <c r="S121" s="147"/>
      <c r="T121" s="147"/>
    </row>
  </sheetData>
  <mergeCells count="4">
    <mergeCell ref="A32:B55"/>
    <mergeCell ref="A3:B31"/>
    <mergeCell ref="A2:B2"/>
    <mergeCell ref="P121:T121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DoubleUpV1</vt:lpstr>
      <vt:lpstr>DoubleupV1.1</vt:lpstr>
      <vt:lpstr>indexes</vt:lpstr>
      <vt:lpstr>Theory</vt:lpstr>
      <vt:lpstr>26-July</vt:lpstr>
      <vt:lpstr>Timeframes</vt:lpstr>
      <vt:lpstr>15-Sept-2024</vt:lpstr>
      <vt:lpstr>Frames</vt:lpstr>
      <vt:lpstr>EPLFrames</vt:lpstr>
      <vt:lpstr>WorldFutFrames</vt:lpstr>
      <vt:lpstr>SatSunFrame</vt:lpstr>
      <vt:lpstr>22 - 24 Nov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Leteno Kananelo</dc:creator>
  <cp:lastModifiedBy>Leteno Kananelo</cp:lastModifiedBy>
  <dcterms:created xsi:type="dcterms:W3CDTF">2023-07-03T17:28:13Z</dcterms:created>
  <dcterms:modified xsi:type="dcterms:W3CDTF">2025-03-04T21:02:47Z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2025-01-03T03:20:07Z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cd78801c-ecb4-44e8-8c14-26b16cadf369</vt:lpwstr>
  </property>
  <property fmtid="{D5CDD505-2E9C-101B-9397-08002B2CF9AE}" pid="8" name="MSIP_Label_b598588f-f3d0-4eb2-953a-14ced1470aee_ContentBits">
    <vt:lpwstr>3</vt:lpwstr>
  </property>
</Properties>
</file>